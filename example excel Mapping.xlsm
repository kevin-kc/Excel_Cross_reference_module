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vin\Pictures\excel cross reference\"/>
    </mc:Choice>
  </mc:AlternateContent>
  <bookViews>
    <workbookView xWindow="0" yWindow="0" windowWidth="28800" windowHeight="12210" tabRatio="339"/>
  </bookViews>
  <sheets>
    <sheet name="ECAR" sheetId="23" r:id="rId1"/>
    <sheet name="TBS" sheetId="19" r:id="rId2"/>
    <sheet name="Sync with Sparx" sheetId="2" r:id="rId3"/>
    <sheet name="EAObjectTypeIDs" sheetId="20" r:id="rId4"/>
  </sheets>
  <functionGroups builtInGroupCount="18"/>
  <definedNames>
    <definedName name="LL_EAObject_TypeIDs">EAObjectTypeIDs!$B$3:$B$62</definedName>
    <definedName name="LL_EAObject_TypeNames" localSheetId="0">LL_EAObjectTypeIDs[TypeName]</definedName>
    <definedName name="LL_EAObject_TypeNames">LL_EAObjectTypeIDs[TypeName]</definedName>
    <definedName name="LL_Element_Types">EAObjectTypeIDs!$D$2:$D$52</definedName>
    <definedName name="LL_Status">EAObjectTypeIDs!$C$2:$C$11</definedName>
    <definedName name="LL_Table_Field">EAObjectTypeIDs!$E$2:$E$4</definedName>
  </definedNames>
  <calcPr calcId="162913"/>
</workbook>
</file>

<file path=xl/calcChain.xml><?xml version="1.0" encoding="utf-8"?>
<calcChain xmlns="http://schemas.openxmlformats.org/spreadsheetml/2006/main">
  <c r="J4" i="23" l="1"/>
  <c r="J5" i="23"/>
  <c r="J6" i="23" s="1"/>
  <c r="T6" i="23" s="1"/>
  <c r="T4" i="23"/>
  <c r="T5" i="23"/>
  <c r="W5" i="19"/>
  <c r="W4" i="23"/>
  <c r="W9" i="23"/>
  <c r="W7" i="23"/>
  <c r="W7" i="19"/>
  <c r="W6" i="23"/>
  <c r="W8" i="23"/>
  <c r="W8" i="19"/>
  <c r="W4" i="19"/>
  <c r="W9" i="19"/>
  <c r="W5" i="23"/>
  <c r="W6" i="19"/>
  <c r="J7" i="23" l="1"/>
  <c r="J8" i="23" s="1"/>
  <c r="T8" i="23" s="1"/>
  <c r="T4" i="19"/>
  <c r="J4" i="19"/>
  <c r="J5" i="19"/>
  <c r="T5" i="19" s="1"/>
  <c r="G4" i="19"/>
  <c r="G5" i="19"/>
  <c r="G6" i="19"/>
  <c r="G7" i="19"/>
  <c r="G8" i="19"/>
  <c r="G9" i="19"/>
  <c r="T7" i="23" l="1"/>
  <c r="J9" i="23"/>
  <c r="J6" i="19"/>
  <c r="T6" i="19" s="1"/>
  <c r="O7" i="19"/>
  <c r="O8" i="19"/>
  <c r="O9" i="19"/>
  <c r="J7" i="19" l="1"/>
  <c r="T7" i="19" s="1"/>
  <c r="T9" i="23"/>
  <c r="O6" i="19"/>
  <c r="C5" i="19"/>
  <c r="D5" i="19" s="1"/>
  <c r="O5" i="19"/>
  <c r="J8" i="19" l="1"/>
  <c r="J9" i="19"/>
  <c r="T8" i="19"/>
  <c r="C4" i="19"/>
  <c r="D4" i="19" s="1"/>
  <c r="B4" i="19"/>
  <c r="T9" i="19" l="1"/>
  <c r="B9" i="19"/>
  <c r="B5" i="19"/>
  <c r="B6" i="19"/>
  <c r="B8" i="19"/>
  <c r="B7" i="19"/>
  <c r="C7" i="19"/>
  <c r="D7" i="19" s="1"/>
  <c r="C8" i="19"/>
  <c r="D8" i="19" s="1"/>
  <c r="C9" i="19"/>
  <c r="D9" i="19" s="1"/>
  <c r="C6" i="19"/>
  <c r="D6" i="19" s="1"/>
  <c r="O4" i="19"/>
</calcChain>
</file>

<file path=xl/sharedStrings.xml><?xml version="1.0" encoding="utf-8"?>
<sst xmlns="http://schemas.openxmlformats.org/spreadsheetml/2006/main" count="269" uniqueCount="196">
  <si>
    <t>EA</t>
  </si>
  <si>
    <t xml:space="preserve">Enter package GUID in B1: </t>
  </si>
  <si>
    <t>Status</t>
  </si>
  <si>
    <t>Version</t>
  </si>
  <si>
    <t>VI</t>
  </si>
  <si>
    <t>EAGUID</t>
  </si>
  <si>
    <t>EAID</t>
  </si>
  <si>
    <t>Property_Modified</t>
  </si>
  <si>
    <t>Property_Type</t>
  </si>
  <si>
    <t>Property_Stereotype</t>
  </si>
  <si>
    <t>Property_Name</t>
  </si>
  <si>
    <t>Property_Alias</t>
  </si>
  <si>
    <t>Property_Status</t>
  </si>
  <si>
    <t>Property_Version</t>
  </si>
  <si>
    <t>Custom_ExcelModified</t>
  </si>
  <si>
    <t>Custom_EAPackageID</t>
  </si>
  <si>
    <t>Custom_EAParentID</t>
  </si>
  <si>
    <t>Custom_EAGUID</t>
  </si>
  <si>
    <t>Custom_EAID</t>
  </si>
  <si>
    <t>Custom_EAParentObjectTypeID</t>
  </si>
  <si>
    <t>Custom_EAObjectTypeID</t>
  </si>
  <si>
    <t>EA : Sparx EA Properties</t>
  </si>
  <si>
    <t>Version Information</t>
  </si>
  <si>
    <t>S12</t>
  </si>
  <si>
    <t>Enter Table Name in B3:</t>
  </si>
  <si>
    <t>Enter Worksheet Name in B2:</t>
  </si>
  <si>
    <t>{9E610CA1-DB62-4780-A766-85FC875012D2}</t>
  </si>
  <si>
    <t>TagValue_Name (FR)</t>
  </si>
  <si>
    <t>RoleTag</t>
  </si>
  <si>
    <t>ParamTag</t>
  </si>
  <si>
    <t>ProjectRole</t>
  </si>
  <si>
    <t>DocumentGenerator</t>
  </si>
  <si>
    <t>MailInterface</t>
  </si>
  <si>
    <t>Class</t>
  </si>
  <si>
    <t>Requirement</t>
  </si>
  <si>
    <t>EA ParentID</t>
  </si>
  <si>
    <t>EA Parent TypeID</t>
  </si>
  <si>
    <t>EA PackageID</t>
  </si>
  <si>
    <t>EA Modified Date</t>
  </si>
  <si>
    <t>Excel Modified Date</t>
  </si>
  <si>
    <t>EA TypeID</t>
  </si>
  <si>
    <t>EA Type</t>
  </si>
  <si>
    <t>EA Stereotype</t>
  </si>
  <si>
    <t>Proposed</t>
  </si>
  <si>
    <t>Verified</t>
  </si>
  <si>
    <t>Validated</t>
  </si>
  <si>
    <t>Accepted</t>
  </si>
  <si>
    <t>Defective</t>
  </si>
  <si>
    <t>Rejected</t>
  </si>
  <si>
    <t>Replaced</t>
  </si>
  <si>
    <t>Retired</t>
  </si>
  <si>
    <t>Parked</t>
  </si>
  <si>
    <t>EAObject TypeIDs</t>
  </si>
  <si>
    <t>Excel Modified Date (Set by Script)</t>
  </si>
  <si>
    <t>TypeID</t>
  </si>
  <si>
    <t>TypeName</t>
  </si>
  <si>
    <t>Element Types</t>
  </si>
  <si>
    <t>Action</t>
  </si>
  <si>
    <t>Activity</t>
  </si>
  <si>
    <t>ActivityPartition</t>
  </si>
  <si>
    <t>ActivityRegion</t>
  </si>
  <si>
    <t>Actor</t>
  </si>
  <si>
    <t>Artifact</t>
  </si>
  <si>
    <t>Association</t>
  </si>
  <si>
    <t>Boundary</t>
  </si>
  <si>
    <t>Change</t>
  </si>
  <si>
    <t>Collaboration</t>
  </si>
  <si>
    <t>Component</t>
  </si>
  <si>
    <t>Constraint</t>
  </si>
  <si>
    <t>Decision</t>
  </si>
  <si>
    <t>DeploymentSpecification</t>
  </si>
  <si>
    <t>DiagramFrame</t>
  </si>
  <si>
    <t>EmbeddedElement</t>
  </si>
  <si>
    <t>Entity</t>
  </si>
  <si>
    <t>EntryPoint</t>
  </si>
  <si>
    <t>Event</t>
  </si>
  <si>
    <t>ExceptionHandler</t>
  </si>
  <si>
    <t>ExitPoint</t>
  </si>
  <si>
    <t>ExpansionNode</t>
  </si>
  <si>
    <t>ExpansionRegion</t>
  </si>
  <si>
    <t>GUIElement InteractionFragment</t>
  </si>
  <si>
    <t>InteractionOccurrence</t>
  </si>
  <si>
    <t>InteractionState</t>
  </si>
  <si>
    <t>Interface</t>
  </si>
  <si>
    <t>InterruptibleActivityRegion</t>
  </si>
  <si>
    <t>Issue</t>
  </si>
  <si>
    <t>Node</t>
  </si>
  <si>
    <t>Note</t>
  </si>
  <si>
    <t>Object</t>
  </si>
  <si>
    <t>Package</t>
  </si>
  <si>
    <t>Parameter</t>
  </si>
  <si>
    <t>Part</t>
  </si>
  <si>
    <t>Port</t>
  </si>
  <si>
    <t>ProvidedInterface</t>
  </si>
  <si>
    <t>Report</t>
  </si>
  <si>
    <t>RequiredInterface</t>
  </si>
  <si>
    <t>Screen</t>
  </si>
  <si>
    <t>Sequence</t>
  </si>
  <si>
    <t>State</t>
  </si>
  <si>
    <t>StateNode</t>
  </si>
  <si>
    <t>Synchronization</t>
  </si>
  <si>
    <t>Text</t>
  </si>
  <si>
    <t>TimeLine</t>
  </si>
  <si>
    <t>UMLDiagram</t>
  </si>
  <si>
    <t>UseCase</t>
  </si>
  <si>
    <t>Import</t>
  </si>
  <si>
    <t>New</t>
  </si>
  <si>
    <t>Reference</t>
  </si>
  <si>
    <t>Diagram</t>
  </si>
  <si>
    <t>Element</t>
  </si>
  <si>
    <t>Attribute</t>
  </si>
  <si>
    <t>AttributeConstraint</t>
  </si>
  <si>
    <t>AttributeTag</t>
  </si>
  <si>
    <t>Author</t>
  </si>
  <si>
    <t>Client</t>
  </si>
  <si>
    <t>Collection</t>
  </si>
  <si>
    <t>Connector</t>
  </si>
  <si>
    <t>ConnectorConstraint</t>
  </si>
  <si>
    <t>ConnectorEnd</t>
  </si>
  <si>
    <t>ConnectorTag</t>
  </si>
  <si>
    <t>CustomProperty</t>
  </si>
  <si>
    <t>Datatype</t>
  </si>
  <si>
    <t>DiagramLink</t>
  </si>
  <si>
    <t>DiagramObject</t>
  </si>
  <si>
    <t>Effort</t>
  </si>
  <si>
    <t>EventProperties</t>
  </si>
  <si>
    <t>EventProperty</t>
  </si>
  <si>
    <t>File</t>
  </si>
  <si>
    <t>Method</t>
  </si>
  <si>
    <t>MethodConstraint</t>
  </si>
  <si>
    <t>MethodTag</t>
  </si>
  <si>
    <t>Metric</t>
  </si>
  <si>
    <t>Model</t>
  </si>
  <si>
    <t>ModelWatcher</t>
  </si>
  <si>
    <t>Partition</t>
  </si>
  <si>
    <t>Project</t>
  </si>
  <si>
    <t>ProjectIssues</t>
  </si>
  <si>
    <t>ProjectResource</t>
  </si>
  <si>
    <t>Properties</t>
  </si>
  <si>
    <t>Property</t>
  </si>
  <si>
    <t>PropertyType</t>
  </si>
  <si>
    <t>Repository</t>
  </si>
  <si>
    <t>Resource</t>
  </si>
  <si>
    <t>Risk</t>
  </si>
  <si>
    <t>Scenario</t>
  </si>
  <si>
    <t>ScenarioExtension</t>
  </si>
  <si>
    <t>ScenarioStep</t>
  </si>
  <si>
    <t>Stereotype</t>
  </si>
  <si>
    <t>Swimlane</t>
  </si>
  <si>
    <t>SwimlaneDef</t>
  </si>
  <si>
    <t>Swimlanes</t>
  </si>
  <si>
    <t>TaggedValue</t>
  </si>
  <si>
    <t>Task</t>
  </si>
  <si>
    <t>Term</t>
  </si>
  <si>
    <t>Test</t>
  </si>
  <si>
    <t>Transition</t>
  </si>
  <si>
    <t>In-Use</t>
  </si>
  <si>
    <t>Alias</t>
  </si>
  <si>
    <t>Name</t>
  </si>
  <si>
    <t>Table</t>
  </si>
  <si>
    <t>Field</t>
  </si>
  <si>
    <t>Row Types</t>
  </si>
  <si>
    <t>Table/Field?</t>
  </si>
  <si>
    <t>Full Name</t>
  </si>
  <si>
    <t>TI</t>
  </si>
  <si>
    <t>TombStone</t>
  </si>
  <si>
    <t>Tombstone ID</t>
  </si>
  <si>
    <t>Treasurey Board Applicaton ID</t>
  </si>
  <si>
    <t>Name English</t>
  </si>
  <si>
    <t>Name French</t>
  </si>
  <si>
    <t>Accronym English</t>
  </si>
  <si>
    <t>Parent Table</t>
  </si>
  <si>
    <t>TBS Table Information</t>
  </si>
  <si>
    <t>Column1</t>
  </si>
  <si>
    <t>ECAR Full Name</t>
  </si>
  <si>
    <t>Mappings (if more than one)</t>
  </si>
  <si>
    <t>ECAR Table Information</t>
  </si>
  <si>
    <t>TBS Full Name</t>
  </si>
  <si>
    <t>Table 1</t>
  </si>
  <si>
    <t>Field 1</t>
  </si>
  <si>
    <t>Field 2</t>
  </si>
  <si>
    <t>Table A</t>
  </si>
  <si>
    <t>Field A</t>
  </si>
  <si>
    <t>Field B</t>
  </si>
  <si>
    <t>Field C</t>
  </si>
  <si>
    <t>Field D</t>
  </si>
  <si>
    <t>Field E</t>
  </si>
  <si>
    <t>Field 3</t>
  </si>
  <si>
    <t>Field 4</t>
  </si>
  <si>
    <t>Field 5</t>
  </si>
  <si>
    <t>Table A.Field B</t>
  </si>
  <si>
    <t>Table 1.Field 1</t>
  </si>
  <si>
    <t>Table 1.Field 2</t>
  </si>
  <si>
    <t>Table 1.Field 5</t>
  </si>
  <si>
    <t>Table 1.Field 3</t>
  </si>
  <si>
    <t>Table A.Field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</si>
</sst>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General_)"/>
    <numFmt numFmtId="165" formatCode="yyyy/mm/dd\ hh:mm:ss"/>
    <numFmt numFmtId="166" formatCode="yyyy\-mm\-dd;@"/>
  </numFmts>
  <fonts count="35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0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2"/>
      <color rgb="FF006100"/>
      <name val="Arial"/>
      <family val="2"/>
    </font>
    <font>
      <sz val="12"/>
      <color rgb="FF9C0006"/>
      <name val="Arial"/>
      <family val="2"/>
    </font>
    <font>
      <sz val="12"/>
      <color rgb="FF9C6500"/>
      <name val="Arial"/>
      <family val="2"/>
    </font>
    <font>
      <sz val="12"/>
      <color rgb="FF3F3F76"/>
      <name val="Arial"/>
      <family val="2"/>
    </font>
    <font>
      <b/>
      <sz val="12"/>
      <color rgb="FF3F3F3F"/>
      <name val="Arial"/>
      <family val="2"/>
    </font>
    <font>
      <b/>
      <sz val="12"/>
      <color rgb="FFFA7D00"/>
      <name val="Arial"/>
      <family val="2"/>
    </font>
    <font>
      <sz val="12"/>
      <color rgb="FFFA7D00"/>
      <name val="Arial"/>
      <family val="2"/>
    </font>
    <font>
      <b/>
      <sz val="12"/>
      <color theme="0"/>
      <name val="Arial"/>
      <family val="2"/>
    </font>
    <font>
      <sz val="12"/>
      <color rgb="FFFF0000"/>
      <name val="Arial"/>
      <family val="2"/>
    </font>
    <font>
      <i/>
      <sz val="12"/>
      <color rgb="FF7F7F7F"/>
      <name val="Arial"/>
      <family val="2"/>
    </font>
    <font>
      <sz val="12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8"/>
      <name val="Courier"/>
      <family val="3"/>
    </font>
    <font>
      <sz val="4"/>
      <color theme="1"/>
      <name val="Arial"/>
      <family val="2"/>
    </font>
    <font>
      <sz val="10"/>
      <color theme="1"/>
      <name val="Arial"/>
      <family val="2"/>
    </font>
    <font>
      <sz val="10"/>
      <color theme="2" tint="-0.249977111117893"/>
      <name val="Arial"/>
      <family val="2"/>
    </font>
    <font>
      <b/>
      <sz val="14"/>
      <name val="Arial"/>
      <family val="2"/>
    </font>
    <font>
      <sz val="8"/>
      <color theme="1" tint="4.9989318521683403E-2"/>
      <name val="Arial"/>
      <family val="2"/>
    </font>
    <font>
      <b/>
      <sz val="8"/>
      <name val="Arial"/>
      <family val="2"/>
    </font>
    <font>
      <sz val="12"/>
      <color theme="1"/>
      <name val="Arial"/>
    </font>
    <font>
      <sz val="10"/>
      <color theme="1"/>
      <name val="Arial"/>
    </font>
    <font>
      <sz val="10"/>
      <color theme="9" tint="-0.249977111117893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4" applyNumberFormat="0" applyAlignment="0" applyProtection="0"/>
    <xf numFmtId="0" fontId="13" fillId="8" borderId="5" applyNumberFormat="0" applyAlignment="0" applyProtection="0"/>
    <xf numFmtId="0" fontId="14" fillId="8" borderId="4" applyNumberFormat="0" applyAlignment="0" applyProtection="0"/>
    <xf numFmtId="0" fontId="15" fillId="0" borderId="6" applyNumberFormat="0" applyFill="0" applyAlignment="0" applyProtection="0"/>
    <xf numFmtId="0" fontId="16" fillId="9" borderId="7" applyNumberFormat="0" applyAlignment="0" applyProtection="0"/>
    <xf numFmtId="0" fontId="17" fillId="0" borderId="0" applyNumberFormat="0" applyFill="0" applyBorder="0" applyAlignment="0" applyProtection="0"/>
    <xf numFmtId="0" fontId="4" fillId="10" borderId="8" applyNumberFormat="0" applyFont="0" applyAlignment="0" applyProtection="0"/>
    <xf numFmtId="0" fontId="18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9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0" borderId="0"/>
    <xf numFmtId="0" fontId="21" fillId="0" borderId="0"/>
    <xf numFmtId="0" fontId="20" fillId="0" borderId="0"/>
    <xf numFmtId="164" fontId="25" fillId="0" borderId="0"/>
  </cellStyleXfs>
  <cellXfs count="73">
    <xf numFmtId="0" fontId="0" fillId="0" borderId="0" xfId="0"/>
    <xf numFmtId="0" fontId="1" fillId="0" borderId="0" xfId="0" applyFont="1"/>
    <xf numFmtId="0" fontId="0" fillId="0" borderId="0" xfId="0" applyBorder="1"/>
    <xf numFmtId="0" fontId="3" fillId="0" borderId="0" xfId="0" applyFont="1" applyFill="1" applyAlignment="1"/>
    <xf numFmtId="0" fontId="3" fillId="0" borderId="0" xfId="0" applyFont="1" applyAlignment="1"/>
    <xf numFmtId="0" fontId="1" fillId="0" borderId="0" xfId="0" applyFont="1"/>
    <xf numFmtId="0" fontId="0" fillId="0" borderId="0" xfId="0"/>
    <xf numFmtId="0" fontId="0" fillId="0" borderId="0" xfId="0" applyAlignment="1">
      <alignment wrapText="1"/>
    </xf>
    <xf numFmtId="0" fontId="0" fillId="0" borderId="0" xfId="0" applyFont="1"/>
    <xf numFmtId="0" fontId="0" fillId="0" borderId="0" xfId="0" applyAlignment="1"/>
    <xf numFmtId="165" fontId="0" fillId="0" borderId="0" xfId="0" applyNumberFormat="1" applyAlignment="1"/>
    <xf numFmtId="0" fontId="1" fillId="0" borderId="0" xfId="0" applyFont="1" applyBorder="1"/>
    <xf numFmtId="1" fontId="24" fillId="0" borderId="0" xfId="0" applyNumberFormat="1" applyFont="1" applyAlignment="1"/>
    <xf numFmtId="1" fontId="24" fillId="0" borderId="0" xfId="0" applyNumberFormat="1" applyFont="1" applyFill="1" applyAlignment="1">
      <alignment horizontal="left" vertical="top" wrapText="1"/>
    </xf>
    <xf numFmtId="0" fontId="24" fillId="0" borderId="0" xfId="0" applyFont="1" applyFill="1" applyAlignment="1">
      <alignment horizontal="left" vertical="top" wrapText="1"/>
    </xf>
    <xf numFmtId="165" fontId="24" fillId="0" borderId="0" xfId="0" applyNumberFormat="1" applyFont="1" applyFill="1" applyAlignment="1">
      <alignment horizontal="left" vertical="top" wrapText="1"/>
    </xf>
    <xf numFmtId="0" fontId="27" fillId="0" borderId="0" xfId="0" applyFont="1" applyFill="1" applyAlignment="1">
      <alignment horizontal="left" vertical="top" wrapText="1"/>
    </xf>
    <xf numFmtId="0" fontId="27" fillId="3" borderId="0" xfId="0" applyFont="1" applyFill="1" applyAlignment="1">
      <alignment horizontal="left" vertical="top" wrapText="1"/>
    </xf>
    <xf numFmtId="0" fontId="28" fillId="0" borderId="0" xfId="0" applyFont="1" applyFill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23" fillId="35" borderId="0" xfId="0" applyFont="1" applyFill="1" applyAlignment="1"/>
    <xf numFmtId="0" fontId="23" fillId="35" borderId="0" xfId="0" applyFont="1" applyFill="1" applyAlignment="1">
      <alignment horizontal="left"/>
    </xf>
    <xf numFmtId="0" fontId="2" fillId="35" borderId="0" xfId="0" applyFont="1" applyFill="1" applyAlignment="1"/>
    <xf numFmtId="0" fontId="0" fillId="0" borderId="0" xfId="0"/>
    <xf numFmtId="0" fontId="1" fillId="0" borderId="0" xfId="0" applyFont="1"/>
    <xf numFmtId="0" fontId="0" fillId="0" borderId="0" xfId="0" applyAlignment="1"/>
    <xf numFmtId="0" fontId="0" fillId="0" borderId="0" xfId="0" applyAlignment="1">
      <alignment wrapText="1"/>
    </xf>
    <xf numFmtId="0" fontId="24" fillId="0" borderId="0" xfId="0" applyFont="1"/>
    <xf numFmtId="0" fontId="24" fillId="0" borderId="0" xfId="0" applyFont="1" applyAlignment="1"/>
    <xf numFmtId="165" fontId="22" fillId="35" borderId="0" xfId="0" applyNumberFormat="1" applyFont="1" applyFill="1" applyAlignment="1"/>
    <xf numFmtId="166" fontId="23" fillId="2" borderId="0" xfId="0" applyNumberFormat="1" applyFont="1" applyFill="1" applyAlignment="1">
      <alignment horizontal="left" vertical="top"/>
    </xf>
    <xf numFmtId="166" fontId="24" fillId="0" borderId="0" xfId="0" applyNumberFormat="1" applyFont="1" applyFill="1" applyAlignment="1">
      <alignment horizontal="left" vertical="top" wrapText="1"/>
    </xf>
    <xf numFmtId="166" fontId="24" fillId="0" borderId="0" xfId="0" applyNumberFormat="1" applyFont="1"/>
    <xf numFmtId="0" fontId="30" fillId="0" borderId="0" xfId="0" applyFont="1" applyFill="1" applyAlignment="1">
      <alignment horizontal="left" vertical="top" wrapText="1"/>
    </xf>
    <xf numFmtId="0" fontId="0" fillId="0" borderId="0" xfId="0" applyNumberFormat="1" applyFont="1" applyFill="1" applyAlignment="1"/>
    <xf numFmtId="1" fontId="0" fillId="0" borderId="0" xfId="0" applyNumberFormat="1" applyFont="1" applyFill="1" applyAlignment="1"/>
    <xf numFmtId="0" fontId="0" fillId="0" borderId="0" xfId="0" applyFont="1" applyFill="1" applyAlignment="1"/>
    <xf numFmtId="0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6" fontId="0" fillId="0" borderId="0" xfId="0" applyNumberFormat="1" applyFont="1" applyFill="1" applyAlignment="1"/>
    <xf numFmtId="0" fontId="0" fillId="0" borderId="0" xfId="0" quotePrefix="1" applyFont="1" applyFill="1" applyAlignment="1"/>
    <xf numFmtId="0" fontId="0" fillId="0" borderId="0" xfId="0" applyFont="1" applyFill="1" applyAlignment="1">
      <alignment wrapText="1"/>
    </xf>
    <xf numFmtId="0" fontId="0" fillId="0" borderId="0" xfId="0" applyNumberFormat="1" applyFont="1" applyFill="1" applyAlignment="1">
      <alignment wrapText="1"/>
    </xf>
    <xf numFmtId="166" fontId="22" fillId="35" borderId="0" xfId="0" applyNumberFormat="1" applyFont="1" applyFill="1" applyAlignment="1"/>
    <xf numFmtId="166" fontId="24" fillId="0" borderId="0" xfId="0" applyNumberFormat="1" applyFont="1" applyAlignment="1"/>
    <xf numFmtId="0" fontId="0" fillId="0" borderId="0" xfId="0"/>
    <xf numFmtId="0" fontId="24" fillId="0" borderId="0" xfId="0" applyFont="1" applyAlignment="1"/>
    <xf numFmtId="1" fontId="24" fillId="0" borderId="0" xfId="0" applyNumberFormat="1" applyFont="1" applyAlignment="1"/>
    <xf numFmtId="1" fontId="24" fillId="0" borderId="0" xfId="0" applyNumberFormat="1" applyFont="1" applyFill="1" applyAlignment="1">
      <alignment horizontal="left" vertical="top" wrapText="1"/>
    </xf>
    <xf numFmtId="0" fontId="24" fillId="0" borderId="0" xfId="0" applyFont="1" applyFill="1" applyAlignment="1">
      <alignment horizontal="left" vertical="top" wrapText="1"/>
    </xf>
    <xf numFmtId="0" fontId="23" fillId="35" borderId="0" xfId="0" applyFont="1" applyFill="1" applyAlignment="1"/>
    <xf numFmtId="0" fontId="0" fillId="0" borderId="0" xfId="0" applyNumberFormat="1" applyFont="1" applyFill="1" applyAlignment="1"/>
    <xf numFmtId="1" fontId="0" fillId="0" borderId="0" xfId="0" applyNumberFormat="1" applyFont="1" applyFill="1" applyAlignment="1"/>
    <xf numFmtId="0" fontId="0" fillId="0" borderId="0" xfId="0" applyFont="1" applyFill="1" applyAlignment="1"/>
    <xf numFmtId="0" fontId="26" fillId="36" borderId="0" xfId="0" applyFont="1" applyFill="1" applyAlignment="1">
      <alignment horizontal="left"/>
    </xf>
    <xf numFmtId="0" fontId="26" fillId="36" borderId="0" xfId="0" applyFont="1" applyFill="1" applyAlignment="1">
      <alignment horizontal="left" wrapText="1"/>
    </xf>
    <xf numFmtId="0" fontId="26" fillId="36" borderId="0" xfId="0" applyFont="1" applyFill="1" applyAlignment="1">
      <alignment wrapText="1"/>
    </xf>
    <xf numFmtId="166" fontId="26" fillId="36" borderId="0" xfId="0" applyNumberFormat="1" applyFont="1" applyFill="1" applyAlignment="1">
      <alignment wrapText="1"/>
    </xf>
    <xf numFmtId="0" fontId="26" fillId="36" borderId="0" xfId="0" applyNumberFormat="1" applyFont="1" applyFill="1" applyAlignment="1">
      <alignment wrapText="1"/>
    </xf>
    <xf numFmtId="1" fontId="26" fillId="36" borderId="0" xfId="0" applyNumberFormat="1" applyFont="1" applyFill="1" applyAlignment="1">
      <alignment wrapText="1"/>
    </xf>
    <xf numFmtId="166" fontId="24" fillId="36" borderId="0" xfId="0" applyNumberFormat="1" applyFont="1" applyFill="1" applyAlignment="1">
      <alignment wrapText="1"/>
    </xf>
    <xf numFmtId="166" fontId="31" fillId="37" borderId="0" xfId="0" applyNumberFormat="1" applyFont="1" applyFill="1" applyAlignment="1">
      <alignment horizontal="left" vertical="top"/>
    </xf>
    <xf numFmtId="0" fontId="29" fillId="37" borderId="0" xfId="0" applyFont="1" applyFill="1" applyAlignment="1">
      <alignment horizontal="left" vertical="top"/>
    </xf>
    <xf numFmtId="0" fontId="32" fillId="0" borderId="0" xfId="0" applyFont="1" applyFill="1" applyAlignment="1"/>
    <xf numFmtId="0" fontId="3" fillId="38" borderId="0" xfId="0" applyFont="1" applyFill="1" applyAlignment="1"/>
    <xf numFmtId="0" fontId="27" fillId="36" borderId="0" xfId="0" applyFont="1" applyFill="1" applyAlignment="1">
      <alignment wrapText="1"/>
    </xf>
    <xf numFmtId="0" fontId="27" fillId="0" borderId="0" xfId="0" applyFont="1" applyFill="1" applyAlignment="1">
      <alignment wrapText="1"/>
    </xf>
    <xf numFmtId="0" fontId="27" fillId="0" borderId="0" xfId="0" applyNumberFormat="1" applyFont="1" applyFill="1" applyAlignment="1">
      <alignment wrapText="1"/>
    </xf>
    <xf numFmtId="0" fontId="27" fillId="0" borderId="0" xfId="0" applyFont="1"/>
    <xf numFmtId="0" fontId="27" fillId="0" borderId="0" xfId="0" applyFont="1" applyFill="1" applyAlignment="1"/>
    <xf numFmtId="0" fontId="33" fillId="0" borderId="0" xfId="0" applyFont="1" applyFill="1" applyAlignment="1">
      <alignment horizontal="left" vertical="top" wrapText="1"/>
    </xf>
    <xf numFmtId="0" fontId="34" fillId="0" borderId="0" xfId="0" applyFont="1" applyFill="1" applyAlignment="1">
      <alignment horizontal="left" vertical="top" wrapText="1"/>
    </xf>
    <xf numFmtId="0" fontId="3" fillId="2" borderId="0" xfId="0" applyFont="1" applyFill="1" applyAlignment="1">
      <alignment horizontal="left" vertical="top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5"/>
    <cellStyle name="Normal 3" xfId="44"/>
    <cellStyle name="Normal 4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color auto="1"/>
      </font>
      <fill>
        <gradientFill degree="90">
          <stop position="0">
            <color theme="0"/>
          </stop>
          <stop position="1">
            <color theme="0" tint="-0.25098422193060094"/>
          </stop>
        </gradient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font>
        <strike/>
      </font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2" tint="-0.2499465926084170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66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none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color auto="1"/>
      </font>
      <fill>
        <gradientFill degree="90">
          <stop position="0">
            <color theme="0"/>
          </stop>
          <stop position="1">
            <color theme="0" tint="-0.25098422193060094"/>
          </stop>
        </gradient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font>
        <strike/>
      </font>
    </dxf>
    <dxf>
      <font>
        <color auto="1"/>
      </font>
      <fill>
        <gradientFill degree="90">
          <stop position="0">
            <color theme="0"/>
          </stop>
          <stop position="1">
            <color theme="0" tint="-0.25098422193060094"/>
          </stop>
        </gradient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font>
        <strike/>
      </font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3</xdr:row>
          <xdr:rowOff>57150</xdr:rowOff>
        </xdr:from>
        <xdr:to>
          <xdr:col>1</xdr:col>
          <xdr:colOff>3257550</xdr:colOff>
          <xdr:row>5</xdr:row>
          <xdr:rowOff>180975</xdr:rowOff>
        </xdr:to>
        <xdr:sp macro="" textlink="">
          <xdr:nvSpPr>
            <xdr:cNvPr id="2050" name="CommandButton1" descr="Import to Sparx EA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_ECAR" displayName="T_ECAR" ref="A3:W9" totalsRowShown="0" headerRowDxfId="59" dataDxfId="58">
  <tableColumns count="23">
    <tableColumn id="73" name="Excel Modified Date (Set by Script)" dataDxfId="57"/>
    <tableColumn id="71" name="EA PackageID" dataDxfId="56"/>
    <tableColumn id="70" name="EA ParentID" dataDxfId="55"/>
    <tableColumn id="72" name="EA Parent TypeID" dataDxfId="54"/>
    <tableColumn id="12" name="EAGUID" dataDxfId="53"/>
    <tableColumn id="68" name="EAID" dataDxfId="52"/>
    <tableColumn id="5" name="EA TypeID" dataDxfId="51"/>
    <tableColumn id="18" name="EA Type" dataDxfId="50"/>
    <tableColumn id="9" name="EA Stereotype" dataDxfId="49"/>
    <tableColumn id="17" name="Parent Table" dataDxfId="48">
      <calculatedColumnFormula>IF(Q4="Table","",IF(Q3="Table",R3,J3))</calculatedColumnFormula>
    </tableColumn>
    <tableColumn id="30" name="EA" dataDxfId="47"/>
    <tableColumn id="1" name="Status" dataDxfId="46"/>
    <tableColumn id="2" name="Version" dataDxfId="45"/>
    <tableColumn id="11" name="EA Modified Date" dataDxfId="44"/>
    <tableColumn id="31" name="Excel Modified Date" dataDxfId="43"/>
    <tableColumn id="38" name="S12" dataDxfId="42"/>
    <tableColumn id="15" name="Table/Field?" dataDxfId="41"/>
    <tableColumn id="54" name="Name" dataDxfId="40"/>
    <tableColumn id="3" name="Alias" dataDxfId="39"/>
    <tableColumn id="36" name="Full Name" dataDxfId="38">
      <calculatedColumnFormula>IF(T_ECAR[Table/Field?]="Table",T_ECAR[Name],T_ECAR[Parent Table]&amp;"."&amp;T_ECAR[Name])</calculatedColumnFormula>
    </tableColumn>
    <tableColumn id="4" name="Column1" dataDxfId="37"/>
    <tableColumn id="6" name="TBS Full Name" dataDxfId="36"/>
    <tableColumn id="7" name="Mappings (if more than one)" dataDxfId="35">
      <calculatedColumnFormula>LookupMatches(T_ECAR[], T_ECAR[[#This Row],[Full Name]], T_TBS[],T_TBS[[#This Row],[ECAR Full Name]],T_TBS[[#This Row],[Full Name]])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_TBS" displayName="T_TBS" ref="A3:W9" totalsRowShown="0" headerRowDxfId="26" dataDxfId="25">
  <tableColumns count="23">
    <tableColumn id="73" name="Excel Modified Date (Set by Script)" dataDxfId="24"/>
    <tableColumn id="71" name="EA PackageID" dataDxfId="23">
      <calculatedColumnFormula>IF(ISBLANK(#REF!),0,INDEX(T_TBS[EAID],MATCH(#REF!,#REF!,0)))</calculatedColumnFormula>
    </tableColumn>
    <tableColumn id="70" name="EA ParentID" dataDxfId="22">
      <calculatedColumnFormula>IF(ISBLANK(#REF!),0,INDEX(T_TBS[EAID],MATCH(#REF!,#REF!,0)))</calculatedColumnFormula>
    </tableColumn>
    <tableColumn id="72" name="EA Parent TypeID" dataDxfId="21">
      <calculatedColumnFormula>IF(ISBLANK(#REF!),0,INDEX(T_TBS[EA TypeID],MATCH(T_TBS[EA ParentID],T_TBS[EAID],0)))</calculatedColumnFormula>
    </tableColumn>
    <tableColumn id="12" name="EAGUID" dataDxfId="20"/>
    <tableColumn id="68" name="EAID" dataDxfId="19"/>
    <tableColumn id="5" name="EA TypeID" dataDxfId="18">
      <calculatedColumnFormula>IF(Q4="Table",4,23)</calculatedColumnFormula>
    </tableColumn>
    <tableColumn id="18" name="EA Type" dataDxfId="17"/>
    <tableColumn id="9" name="EA Stereotype" dataDxfId="16"/>
    <tableColumn id="17" name="Parent Table" dataDxfId="15">
      <calculatedColumnFormula>IF(Q4="Table","",IF(Q3="Table",R3,J3))</calculatedColumnFormula>
    </tableColumn>
    <tableColumn id="30" name="EA" dataDxfId="14"/>
    <tableColumn id="1" name="Status" dataDxfId="13"/>
    <tableColumn id="2" name="Version" dataDxfId="12"/>
    <tableColumn id="11" name="EA Modified Date" dataDxfId="11"/>
    <tableColumn id="31" name="Excel Modified Date" dataDxfId="10">
      <calculatedColumnFormula>IF(NOT(ISBLANK(T_TBS[Excel Modified Date (Set by Script)])),T_TBS[Excel Modified Date (Set by Script)],"")</calculatedColumnFormula>
    </tableColumn>
    <tableColumn id="38" name="S12" dataDxfId="9"/>
    <tableColumn id="15" name="Table/Field?" dataDxfId="8"/>
    <tableColumn id="54" name="Name" dataDxfId="7"/>
    <tableColumn id="3" name="Alias" dataDxfId="6"/>
    <tableColumn id="36" name="Full Name" dataDxfId="5">
      <calculatedColumnFormula>IF(T_TBS[Table/Field?]="Table",T_TBS[Name],T_TBS[Parent Table]&amp;"."&amp;T_TBS[Name])</calculatedColumnFormula>
    </tableColumn>
    <tableColumn id="4" name="Column1" dataDxfId="4"/>
    <tableColumn id="6" name="ECAR Full Name" dataDxfId="3"/>
    <tableColumn id="7" name="Mappings (if more than one)" dataDxfId="2">
      <calculatedColumnFormula>LookupMatches(T_TBS[],T_TBS[[#This Row],[Full Name]], T_ECAR[], T_ECAR[[#This Row],[TBS Full Name]],T_ECAR[[#This Row],[Full 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LL_EAObjectTypeIDs" displayName="LL_EAObjectTypeIDs" ref="A2:B62" totalsRowShown="0">
  <autoFilter ref="A2:B62"/>
  <sortState ref="A3:B62">
    <sortCondition ref="A3:A62"/>
  </sortState>
  <tableColumns count="2">
    <tableColumn id="1" name="TypeName"/>
    <tableColumn id="2" name="Type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276"/>
  <sheetViews>
    <sheetView tabSelected="1" zoomScaleNormal="100" workbookViewId="0">
      <pane xSplit="20" ySplit="3" topLeftCell="U4" activePane="bottomRight" state="frozenSplit"/>
      <selection activeCell="K1" sqref="K1"/>
      <selection pane="topRight" activeCell="U1" sqref="U1"/>
      <selection pane="bottomLeft" activeCell="K4" sqref="K4"/>
      <selection pane="bottomRight" activeCell="W6" sqref="W6"/>
    </sheetView>
  </sheetViews>
  <sheetFormatPr defaultColWidth="8.88671875" defaultRowHeight="15" customHeight="1" outlineLevelCol="1" x14ac:dyDescent="0.2"/>
  <cols>
    <col min="1" max="1" width="14.6640625" style="44" hidden="1" customWidth="1" outlineLevel="1"/>
    <col min="2" max="2" width="8.88671875" style="27" hidden="1" customWidth="1" outlineLevel="1"/>
    <col min="3" max="3" width="7.6640625" style="27" hidden="1" customWidth="1" outlineLevel="1"/>
    <col min="4" max="4" width="8.6640625" style="27" hidden="1" customWidth="1" outlineLevel="1"/>
    <col min="5" max="5" width="5.44140625" style="27" hidden="1" customWidth="1" outlineLevel="1"/>
    <col min="6" max="6" width="5" style="47" hidden="1" customWidth="1" outlineLevel="1"/>
    <col min="7" max="7" width="9.44140625" style="47" hidden="1" customWidth="1" outlineLevel="1"/>
    <col min="8" max="8" width="10.88671875" style="46" hidden="1" customWidth="1" outlineLevel="1"/>
    <col min="9" max="9" width="10.33203125" style="46" hidden="1" customWidth="1" outlineLevel="1"/>
    <col min="10" max="10" width="8.44140625" style="46" hidden="1" customWidth="1" outlineLevel="1"/>
    <col min="11" max="11" width="3.88671875" style="45" bestFit="1" customWidth="1" collapsed="1"/>
    <col min="12" max="12" width="7.6640625" style="45" hidden="1" customWidth="1" outlineLevel="1"/>
    <col min="13" max="13" width="10.44140625" style="45" hidden="1" customWidth="1" outlineLevel="1"/>
    <col min="14" max="14" width="11" style="32" hidden="1" customWidth="1" outlineLevel="1"/>
    <col min="15" max="15" width="12.5546875" style="32" hidden="1" customWidth="1" outlineLevel="1"/>
    <col min="16" max="16" width="3.33203125" style="10" bestFit="1" customWidth="1" collapsed="1"/>
    <col min="17" max="17" width="9.6640625" style="45" bestFit="1" customWidth="1"/>
    <col min="18" max="18" width="37" style="45" bestFit="1" customWidth="1"/>
    <col min="19" max="19" width="10.21875" style="45" bestFit="1" customWidth="1" outlineLevel="1"/>
    <col min="20" max="20" width="14.6640625" style="68" bestFit="1" customWidth="1" outlineLevel="1"/>
    <col min="21" max="21" width="4" style="68" bestFit="1" customWidth="1"/>
    <col min="22" max="22" width="24.44140625" style="45" customWidth="1"/>
    <col min="23" max="23" width="26.5546875" style="45" customWidth="1"/>
    <col min="24" max="24" width="13.5546875" style="25" customWidth="1"/>
    <col min="25" max="25" width="3.33203125" style="25" bestFit="1" customWidth="1"/>
    <col min="26" max="26" width="9.88671875" style="26" customWidth="1"/>
    <col min="27" max="27" width="10.44140625" style="26" bestFit="1" customWidth="1"/>
    <col min="28" max="28" width="11" style="25" bestFit="1" customWidth="1"/>
    <col min="29" max="29" width="15.44140625" style="45" customWidth="1"/>
    <col min="30" max="30" width="4.21875" style="45" bestFit="1" customWidth="1"/>
    <col min="31" max="31" width="13.6640625" style="45" customWidth="1"/>
    <col min="32" max="32" width="7.88671875" style="45" bestFit="1" customWidth="1"/>
    <col min="33" max="33" width="13.33203125" style="45" bestFit="1" customWidth="1"/>
    <col min="34" max="34" width="7.88671875" style="25" bestFit="1" customWidth="1"/>
    <col min="35" max="35" width="13.33203125" style="25" bestFit="1" customWidth="1"/>
    <col min="36" max="36" width="10.109375" style="25" bestFit="1" customWidth="1"/>
    <col min="37" max="37" width="7.88671875" style="25" bestFit="1" customWidth="1"/>
    <col min="38" max="38" width="13.33203125" style="25" bestFit="1" customWidth="1"/>
    <col min="39" max="39" width="23.88671875" style="25" customWidth="1"/>
    <col min="40" max="40" width="15.6640625" style="25" customWidth="1"/>
    <col min="41" max="41" width="16" style="25" customWidth="1"/>
    <col min="42" max="42" width="18" style="25" customWidth="1"/>
    <col min="43" max="43" width="4.21875" style="25" bestFit="1" customWidth="1"/>
    <col min="44" max="44" width="18.6640625" style="26" customWidth="1"/>
    <col min="45" max="45" width="17.77734375" style="26" customWidth="1"/>
    <col min="46" max="46" width="18.33203125" style="26" customWidth="1"/>
    <col min="47" max="47" width="4.5546875" style="26" customWidth="1"/>
    <col min="48" max="48" width="5.6640625" style="45" customWidth="1"/>
    <col min="49" max="49" width="20.77734375" style="25" customWidth="1"/>
    <col min="50" max="50" width="18.6640625" style="25" customWidth="1"/>
    <col min="51" max="51" width="24.21875" style="25" customWidth="1"/>
    <col min="52" max="52" width="5.6640625" style="25" customWidth="1"/>
    <col min="53" max="53" width="10" style="25" customWidth="1"/>
    <col min="54" max="54" width="3.88671875" style="25" customWidth="1"/>
    <col min="55" max="55" width="11.5546875" style="25" customWidth="1"/>
    <col min="56" max="56" width="24.5546875" style="25" customWidth="1"/>
    <col min="57" max="57" width="24.21875" style="25" customWidth="1"/>
    <col min="58" max="58" width="5.6640625" style="25" customWidth="1"/>
    <col min="59" max="59" width="18.6640625" style="25" customWidth="1"/>
    <col min="60" max="60" width="17.77734375" style="25" customWidth="1"/>
    <col min="61" max="61" width="18.33203125" style="25" customWidth="1"/>
    <col min="62" max="62" width="17.44140625" style="25" customWidth="1"/>
    <col min="63" max="63" width="5.6640625" style="25" customWidth="1"/>
    <col min="64" max="64" width="20.77734375" style="25" customWidth="1"/>
    <col min="65" max="65" width="18.6640625" style="25" customWidth="1"/>
    <col min="66" max="66" width="24.21875" style="25" customWidth="1"/>
    <col min="67" max="67" width="8.88671875" style="25"/>
    <col min="68" max="68" width="21.109375" style="25" customWidth="1"/>
    <col min="69" max="69" width="24.44140625" style="25" bestFit="1" customWidth="1"/>
    <col min="70" max="70" width="10.77734375" style="25" customWidth="1"/>
    <col min="71" max="71" width="22.88671875" style="25" customWidth="1"/>
    <col min="72" max="72" width="22.44140625" style="25" bestFit="1" customWidth="1"/>
    <col min="73" max="76" width="8.88671875" style="25"/>
    <col min="77" max="77" width="15.88671875" style="25" customWidth="1"/>
    <col min="78" max="78" width="18.109375" style="25" customWidth="1"/>
    <col min="79" max="79" width="22.88671875" style="25" customWidth="1"/>
    <col min="80" max="80" width="22.44140625" style="25" bestFit="1" customWidth="1"/>
    <col min="81" max="82" width="8.88671875" style="25"/>
    <col min="83" max="83" width="4.88671875" style="25" bestFit="1" customWidth="1"/>
    <col min="84" max="84" width="3.77734375" style="25" bestFit="1" customWidth="1"/>
    <col min="85" max="85" width="22.88671875" style="25" bestFit="1" customWidth="1"/>
    <col min="86" max="86" width="22.44140625" style="25" bestFit="1" customWidth="1"/>
    <col min="87" max="87" width="14.44140625" style="25" bestFit="1" customWidth="1"/>
    <col min="88" max="88" width="52.5546875" style="25" bestFit="1" customWidth="1"/>
    <col min="89" max="89" width="16.44140625" style="25" bestFit="1" customWidth="1"/>
    <col min="90" max="90" width="80.88671875" style="25" bestFit="1" customWidth="1"/>
    <col min="91" max="91" width="14.109375" style="25" bestFit="1" customWidth="1"/>
    <col min="92" max="92" width="65" style="25" bestFit="1" customWidth="1"/>
    <col min="93" max="93" width="80.88671875" style="25" bestFit="1" customWidth="1"/>
    <col min="94" max="94" width="42.5546875" style="25" bestFit="1" customWidth="1"/>
    <col min="95" max="95" width="35.88671875" style="25" bestFit="1" customWidth="1"/>
    <col min="96" max="16384" width="8.88671875" style="25"/>
  </cols>
  <sheetData>
    <row r="1" spans="1:48" s="56" customFormat="1" ht="15" customHeight="1" x14ac:dyDescent="0.2">
      <c r="A1" s="57" t="s">
        <v>14</v>
      </c>
      <c r="B1" s="58" t="s">
        <v>15</v>
      </c>
      <c r="C1" s="59" t="s">
        <v>16</v>
      </c>
      <c r="D1" s="59" t="s">
        <v>19</v>
      </c>
      <c r="E1" s="56" t="s">
        <v>17</v>
      </c>
      <c r="F1" s="56" t="s">
        <v>18</v>
      </c>
      <c r="G1" s="55" t="s">
        <v>20</v>
      </c>
      <c r="H1" s="56" t="s">
        <v>8</v>
      </c>
      <c r="I1" s="56" t="s">
        <v>9</v>
      </c>
      <c r="L1" s="54" t="s">
        <v>12</v>
      </c>
      <c r="M1" s="54" t="s">
        <v>13</v>
      </c>
      <c r="N1" s="60" t="s">
        <v>7</v>
      </c>
      <c r="O1" s="60"/>
      <c r="R1" s="56" t="s">
        <v>10</v>
      </c>
      <c r="S1" s="65" t="s">
        <v>11</v>
      </c>
      <c r="T1" s="65" t="s">
        <v>27</v>
      </c>
    </row>
    <row r="2" spans="1:48" s="4" customFormat="1" ht="18" x14ac:dyDescent="0.25">
      <c r="A2" s="43" t="s">
        <v>21</v>
      </c>
      <c r="B2" s="29"/>
      <c r="C2" s="29"/>
      <c r="D2" s="29"/>
      <c r="E2" s="50"/>
      <c r="F2" s="50"/>
      <c r="G2" s="21"/>
      <c r="H2" s="62"/>
      <c r="I2" s="61"/>
      <c r="J2" s="61"/>
      <c r="K2" s="22" t="s">
        <v>0</v>
      </c>
      <c r="L2" s="72" t="s">
        <v>22</v>
      </c>
      <c r="M2" s="72"/>
      <c r="N2" s="72"/>
      <c r="O2" s="30"/>
      <c r="P2" s="3" t="s">
        <v>4</v>
      </c>
      <c r="Q2" s="64" t="s">
        <v>176</v>
      </c>
      <c r="R2" s="64"/>
      <c r="S2" s="64"/>
      <c r="T2" s="64"/>
      <c r="U2" s="4" t="s">
        <v>164</v>
      </c>
    </row>
    <row r="3" spans="1:48" s="19" customFormat="1" ht="30.75" customHeight="1" x14ac:dyDescent="0.2">
      <c r="A3" s="31" t="s">
        <v>53</v>
      </c>
      <c r="B3" s="15" t="s">
        <v>37</v>
      </c>
      <c r="C3" s="48" t="s">
        <v>35</v>
      </c>
      <c r="D3" s="48" t="s">
        <v>36</v>
      </c>
      <c r="E3" s="49" t="s">
        <v>5</v>
      </c>
      <c r="F3" s="49" t="s">
        <v>6</v>
      </c>
      <c r="G3" s="49" t="s">
        <v>40</v>
      </c>
      <c r="H3" s="49" t="s">
        <v>41</v>
      </c>
      <c r="I3" s="49" t="s">
        <v>42</v>
      </c>
      <c r="J3" s="49" t="s">
        <v>171</v>
      </c>
      <c r="K3" s="33" t="s">
        <v>0</v>
      </c>
      <c r="L3" s="16" t="s">
        <v>2</v>
      </c>
      <c r="M3" s="17" t="s">
        <v>3</v>
      </c>
      <c r="N3" s="31" t="s">
        <v>38</v>
      </c>
      <c r="O3" s="31" t="s">
        <v>39</v>
      </c>
      <c r="P3" s="18" t="s">
        <v>23</v>
      </c>
      <c r="Q3" s="16" t="s">
        <v>162</v>
      </c>
      <c r="R3" s="16" t="s">
        <v>158</v>
      </c>
      <c r="S3" s="16" t="s">
        <v>157</v>
      </c>
      <c r="T3" s="16" t="s">
        <v>163</v>
      </c>
      <c r="U3" s="71" t="s">
        <v>173</v>
      </c>
      <c r="V3" s="16" t="s">
        <v>177</v>
      </c>
      <c r="W3" s="70" t="s">
        <v>175</v>
      </c>
    </row>
    <row r="4" spans="1:48" s="53" customFormat="1" ht="15" customHeight="1" x14ac:dyDescent="0.2">
      <c r="A4" s="39"/>
      <c r="B4" s="51"/>
      <c r="C4" s="52"/>
      <c r="D4" s="52"/>
      <c r="G4" s="38"/>
      <c r="J4" s="53" t="str">
        <f t="shared" ref="J4:J9" si="0">IF(Q4="Table","",IF(Q3="Table",R3,J3))</f>
        <v/>
      </c>
      <c r="N4" s="39"/>
      <c r="O4" s="39"/>
      <c r="P4" s="40"/>
      <c r="Q4" s="40" t="s">
        <v>159</v>
      </c>
      <c r="R4" s="41" t="s">
        <v>181</v>
      </c>
      <c r="S4" s="69"/>
      <c r="T4" s="66" t="str">
        <f>IF(T_ECAR[Table/Field?]="Table",T_ECAR[Name],T_ECAR[Parent Table]&amp;"."&amp;T_ECAR[Name])</f>
        <v>Table A</v>
      </c>
      <c r="U4" s="63"/>
      <c r="V4" s="63" t="s">
        <v>193</v>
      </c>
      <c r="W4" s="63" t="e">
        <f ca="1">LookupMatches(T_ECAR[], T_ECAR[[#This Row],[Full Name]], T_TBS[],T_TBS[[#This Row],[ECAR Full Name]],T_TBS[[#This Row],[Full Name]])</f>
        <v>#NAME?</v>
      </c>
    </row>
    <row r="5" spans="1:48" ht="15" customHeight="1" x14ac:dyDescent="0.2">
      <c r="A5" s="39"/>
      <c r="B5" s="51"/>
      <c r="C5" s="52"/>
      <c r="D5" s="52"/>
      <c r="E5" s="53"/>
      <c r="F5" s="52"/>
      <c r="G5" s="37"/>
      <c r="H5" s="51"/>
      <c r="I5" s="51"/>
      <c r="J5" s="51" t="str">
        <f t="shared" si="0"/>
        <v>Table A</v>
      </c>
      <c r="K5" s="53"/>
      <c r="L5" s="53"/>
      <c r="M5" s="51"/>
      <c r="N5" s="39"/>
      <c r="O5" s="39"/>
      <c r="P5" s="51"/>
      <c r="Q5" s="51" t="s">
        <v>160</v>
      </c>
      <c r="R5" s="42" t="s">
        <v>182</v>
      </c>
      <c r="S5" s="69"/>
      <c r="T5" s="67" t="str">
        <f>IF(T_ECAR[Table/Field?]="Table",T_ECAR[Name],T_ECAR[Parent Table]&amp;"."&amp;T_ECAR[Name])</f>
        <v>Table A.Field A</v>
      </c>
      <c r="U5" s="63"/>
      <c r="V5" s="63" t="s">
        <v>191</v>
      </c>
      <c r="W5" s="63" t="e">
        <f ca="1">LookupMatches(T_ECAR[], T_ECAR[[#This Row],[Full Name]], T_TBS[],T_TBS[[#This Row],[ECAR Full Name]],T_TBS[[#This Row],[Full Name]])</f>
        <v>#NAME?</v>
      </c>
      <c r="X5" s="45"/>
      <c r="Y5" s="45"/>
      <c r="Z5" s="25"/>
      <c r="AA5" s="25"/>
      <c r="AC5" s="25"/>
      <c r="AD5" s="25"/>
      <c r="AE5" s="25"/>
      <c r="AF5" s="25"/>
      <c r="AG5" s="25"/>
      <c r="AJ5" s="26"/>
      <c r="AK5" s="26"/>
      <c r="AL5" s="26"/>
      <c r="AM5" s="26"/>
      <c r="AN5" s="45"/>
      <c r="AR5" s="25"/>
      <c r="AS5" s="25"/>
      <c r="AT5" s="25"/>
      <c r="AU5" s="25"/>
      <c r="AV5" s="25"/>
    </row>
    <row r="6" spans="1:48" ht="15" customHeight="1" x14ac:dyDescent="0.2">
      <c r="A6" s="39"/>
      <c r="B6" s="51"/>
      <c r="C6" s="52"/>
      <c r="D6" s="52"/>
      <c r="E6" s="53"/>
      <c r="F6" s="52"/>
      <c r="G6" s="37"/>
      <c r="H6" s="51"/>
      <c r="I6" s="51"/>
      <c r="J6" s="51" t="str">
        <f t="shared" si="0"/>
        <v>Table A</v>
      </c>
      <c r="K6" s="53"/>
      <c r="L6" s="53"/>
      <c r="M6" s="51"/>
      <c r="N6" s="39"/>
      <c r="O6" s="39"/>
      <c r="P6" s="51"/>
      <c r="Q6" s="51" t="s">
        <v>160</v>
      </c>
      <c r="R6" s="42" t="s">
        <v>183</v>
      </c>
      <c r="S6" s="69"/>
      <c r="T6" s="67" t="str">
        <f>IF(T_ECAR[Table/Field?]="Table",T_ECAR[Name],T_ECAR[Parent Table]&amp;"."&amp;T_ECAR[Name])</f>
        <v>Table A.Field B</v>
      </c>
      <c r="U6" s="63"/>
      <c r="V6" s="63"/>
      <c r="W6" s="63" t="e">
        <f ca="1">LookupMatches(T_ECAR[], T_ECAR[[#This Row],[Full Name]], T_TBS[],T_TBS[[#This Row],[ECAR Full Name]],T_TBS[[#This Row],[Full Name]])</f>
        <v>#NAME?</v>
      </c>
      <c r="X6" s="45"/>
      <c r="Y6" s="45"/>
      <c r="Z6" s="25"/>
      <c r="AA6" s="25"/>
      <c r="AC6" s="25"/>
      <c r="AD6" s="25"/>
      <c r="AE6" s="25"/>
      <c r="AF6" s="25"/>
      <c r="AG6" s="25"/>
      <c r="AJ6" s="26"/>
      <c r="AK6" s="26"/>
      <c r="AL6" s="26"/>
      <c r="AM6" s="26"/>
      <c r="AN6" s="45"/>
      <c r="AR6" s="25"/>
      <c r="AS6" s="25"/>
      <c r="AT6" s="25"/>
      <c r="AU6" s="25"/>
      <c r="AV6" s="25"/>
    </row>
    <row r="7" spans="1:48" ht="15" customHeight="1" x14ac:dyDescent="0.2">
      <c r="A7" s="39"/>
      <c r="B7" s="51"/>
      <c r="C7" s="52"/>
      <c r="D7" s="52"/>
      <c r="E7" s="53"/>
      <c r="F7" s="52"/>
      <c r="G7" s="37"/>
      <c r="H7" s="51"/>
      <c r="I7" s="51"/>
      <c r="J7" s="51" t="str">
        <f t="shared" si="0"/>
        <v>Table A</v>
      </c>
      <c r="K7" s="53"/>
      <c r="L7" s="53"/>
      <c r="M7" s="51"/>
      <c r="N7" s="39"/>
      <c r="O7" s="39"/>
      <c r="P7" s="51"/>
      <c r="Q7" s="51" t="s">
        <v>160</v>
      </c>
      <c r="R7" s="42" t="s">
        <v>184</v>
      </c>
      <c r="S7" s="69"/>
      <c r="T7" s="67" t="str">
        <f>IF(T_ECAR[Table/Field?]="Table",T_ECAR[Name],T_ECAR[Parent Table]&amp;"."&amp;T_ECAR[Name])</f>
        <v>Table A.Field C</v>
      </c>
      <c r="U7" s="63"/>
      <c r="V7" s="63" t="s">
        <v>191</v>
      </c>
      <c r="W7" s="63" t="e">
        <f ca="1">LookupMatches(T_ECAR[], T_ECAR[[#This Row],[Full Name]], T_TBS[],T_TBS[[#This Row],[ECAR Full Name]],T_TBS[[#This Row],[Full Name]])</f>
        <v>#NAME?</v>
      </c>
      <c r="X7" s="45"/>
      <c r="Y7" s="45"/>
      <c r="Z7" s="25"/>
      <c r="AA7" s="25"/>
      <c r="AC7" s="25"/>
      <c r="AD7" s="25"/>
      <c r="AE7" s="25"/>
      <c r="AF7" s="25"/>
      <c r="AG7" s="25"/>
      <c r="AJ7" s="26"/>
      <c r="AK7" s="26"/>
      <c r="AL7" s="26"/>
      <c r="AM7" s="26"/>
      <c r="AN7" s="45"/>
      <c r="AR7" s="25"/>
      <c r="AS7" s="25"/>
      <c r="AT7" s="25"/>
      <c r="AU7" s="25"/>
      <c r="AV7" s="25"/>
    </row>
    <row r="8" spans="1:48" ht="15" customHeight="1" x14ac:dyDescent="0.2">
      <c r="A8" s="39"/>
      <c r="B8" s="51"/>
      <c r="C8" s="52"/>
      <c r="D8" s="52"/>
      <c r="E8" s="53"/>
      <c r="F8" s="52"/>
      <c r="G8" s="37"/>
      <c r="H8" s="51"/>
      <c r="I8" s="51"/>
      <c r="J8" s="51" t="str">
        <f t="shared" si="0"/>
        <v>Table A</v>
      </c>
      <c r="K8" s="53"/>
      <c r="L8" s="53"/>
      <c r="M8" s="51"/>
      <c r="N8" s="39"/>
      <c r="O8" s="39"/>
      <c r="P8" s="51"/>
      <c r="Q8" s="51" t="s">
        <v>160</v>
      </c>
      <c r="R8" s="42" t="s">
        <v>185</v>
      </c>
      <c r="S8" s="69"/>
      <c r="T8" s="67" t="str">
        <f>IF(T_ECAR[Table/Field?]="Table",T_ECAR[Name],T_ECAR[Parent Table]&amp;"."&amp;T_ECAR[Name])</f>
        <v>Table A.Field D</v>
      </c>
      <c r="U8" s="63"/>
      <c r="V8" s="63" t="s">
        <v>194</v>
      </c>
      <c r="W8" s="63" t="e">
        <f ca="1">LookupMatches(T_ECAR[], T_ECAR[[#This Row],[Full Name]], T_TBS[],T_TBS[[#This Row],[ECAR Full Name]],T_TBS[[#This Row],[Full Name]])</f>
        <v>#NAME?</v>
      </c>
      <c r="X8" s="45"/>
      <c r="Y8" s="45"/>
      <c r="Z8" s="25"/>
      <c r="AA8" s="25"/>
      <c r="AC8" s="25"/>
      <c r="AD8" s="25"/>
      <c r="AE8" s="25"/>
      <c r="AF8" s="25"/>
      <c r="AG8" s="25"/>
      <c r="AJ8" s="26"/>
      <c r="AK8" s="26"/>
      <c r="AL8" s="26"/>
      <c r="AM8" s="26"/>
      <c r="AN8" s="45"/>
      <c r="AR8" s="25"/>
      <c r="AS8" s="25"/>
      <c r="AT8" s="25"/>
      <c r="AU8" s="25"/>
      <c r="AV8" s="25"/>
    </row>
    <row r="9" spans="1:48" ht="15" customHeight="1" x14ac:dyDescent="0.2">
      <c r="A9" s="39"/>
      <c r="B9" s="51"/>
      <c r="C9" s="52"/>
      <c r="D9" s="52"/>
      <c r="E9" s="53"/>
      <c r="F9" s="52"/>
      <c r="G9" s="37"/>
      <c r="H9" s="51"/>
      <c r="I9" s="51"/>
      <c r="J9" s="51" t="str">
        <f t="shared" si="0"/>
        <v>Table A</v>
      </c>
      <c r="K9" s="53"/>
      <c r="L9" s="53"/>
      <c r="M9" s="51"/>
      <c r="N9" s="39"/>
      <c r="O9" s="39"/>
      <c r="P9" s="51"/>
      <c r="Q9" s="51" t="s">
        <v>160</v>
      </c>
      <c r="R9" s="42" t="s">
        <v>186</v>
      </c>
      <c r="S9" s="69"/>
      <c r="T9" s="67" t="str">
        <f>IF(T_ECAR[Table/Field?]="Table",T_ECAR[Name],T_ECAR[Parent Table]&amp;"."&amp;T_ECAR[Name])</f>
        <v>Table A.Field E</v>
      </c>
      <c r="U9" s="63"/>
      <c r="V9" s="63" t="s">
        <v>192</v>
      </c>
      <c r="W9" s="63" t="e">
        <f ca="1">LookupMatches(T_ECAR[], T_ECAR[[#This Row],[Full Name]], T_TBS[],T_TBS[[#This Row],[ECAR Full Name]],T_TBS[[#This Row],[Full Name]])</f>
        <v>#NAME?</v>
      </c>
      <c r="X9" s="45"/>
      <c r="Y9" s="45"/>
      <c r="Z9" s="25"/>
      <c r="AA9" s="25"/>
      <c r="AC9" s="25"/>
      <c r="AD9" s="25"/>
      <c r="AE9" s="25"/>
      <c r="AF9" s="25"/>
      <c r="AG9" s="25"/>
      <c r="AJ9" s="26"/>
      <c r="AK9" s="26"/>
      <c r="AL9" s="26"/>
      <c r="AM9" s="26"/>
      <c r="AN9" s="45"/>
      <c r="AR9" s="25"/>
      <c r="AS9" s="25"/>
      <c r="AT9" s="25"/>
      <c r="AU9" s="25"/>
      <c r="AV9" s="25"/>
    </row>
    <row r="10" spans="1:48" ht="15" customHeight="1" x14ac:dyDescent="0.2">
      <c r="X10" s="45"/>
      <c r="Y10" s="45"/>
      <c r="Z10" s="25"/>
      <c r="AA10" s="25"/>
      <c r="AC10" s="25"/>
      <c r="AD10" s="25"/>
      <c r="AE10" s="25"/>
      <c r="AF10" s="25"/>
      <c r="AG10" s="25"/>
      <c r="AJ10" s="26"/>
      <c r="AK10" s="26"/>
      <c r="AL10" s="26"/>
      <c r="AM10" s="26"/>
      <c r="AN10" s="45"/>
      <c r="AR10" s="25"/>
      <c r="AS10" s="25"/>
      <c r="AT10" s="25"/>
      <c r="AU10" s="25"/>
      <c r="AV10" s="25"/>
    </row>
    <row r="11" spans="1:48" ht="15" customHeight="1" x14ac:dyDescent="0.2">
      <c r="Y11" s="26"/>
      <c r="AA11" s="25"/>
      <c r="AB11" s="45"/>
      <c r="AG11" s="25"/>
      <c r="AQ11" s="26"/>
      <c r="AU11" s="45"/>
      <c r="AV11" s="25"/>
    </row>
    <row r="12" spans="1:48" ht="15" customHeight="1" x14ac:dyDescent="0.2">
      <c r="Y12" s="26"/>
      <c r="AA12" s="25"/>
      <c r="AB12" s="45"/>
      <c r="AG12" s="25"/>
      <c r="AQ12" s="26"/>
      <c r="AU12" s="45"/>
      <c r="AV12" s="25"/>
    </row>
    <row r="13" spans="1:48" ht="15" customHeight="1" x14ac:dyDescent="0.2">
      <c r="Y13" s="26"/>
      <c r="AA13" s="25"/>
      <c r="AB13" s="45"/>
      <c r="AG13" s="25"/>
      <c r="AQ13" s="26"/>
      <c r="AU13" s="45"/>
      <c r="AV13" s="25"/>
    </row>
    <row r="14" spans="1:48" ht="15" customHeight="1" x14ac:dyDescent="0.2">
      <c r="Y14" s="26"/>
      <c r="AA14" s="25"/>
      <c r="AB14" s="45"/>
      <c r="AG14" s="25"/>
      <c r="AQ14" s="26"/>
      <c r="AU14" s="45"/>
      <c r="AV14" s="25"/>
    </row>
    <row r="15" spans="1:48" ht="15" customHeight="1" x14ac:dyDescent="0.2">
      <c r="Y15" s="26"/>
      <c r="AA15" s="25"/>
      <c r="AB15" s="45"/>
      <c r="AG15" s="25"/>
      <c r="AQ15" s="26"/>
      <c r="AU15" s="45"/>
      <c r="AV15" s="25"/>
    </row>
    <row r="16" spans="1:48" ht="15" customHeight="1" x14ac:dyDescent="0.2">
      <c r="Y16" s="26"/>
      <c r="AA16" s="25"/>
      <c r="AB16" s="45"/>
      <c r="AG16" s="25"/>
      <c r="AQ16" s="26"/>
      <c r="AU16" s="45"/>
      <c r="AV16" s="25"/>
    </row>
    <row r="17" spans="25:48" ht="15" customHeight="1" x14ac:dyDescent="0.2">
      <c r="Y17" s="26"/>
      <c r="AA17" s="25"/>
      <c r="AB17" s="45"/>
      <c r="AG17" s="25"/>
      <c r="AQ17" s="26"/>
      <c r="AU17" s="45"/>
      <c r="AV17" s="25"/>
    </row>
    <row r="18" spans="25:48" ht="15" customHeight="1" x14ac:dyDescent="0.2">
      <c r="Y18" s="26"/>
      <c r="AA18" s="25"/>
      <c r="AB18" s="45"/>
      <c r="AG18" s="25"/>
      <c r="AQ18" s="26"/>
      <c r="AU18" s="45"/>
      <c r="AV18" s="25"/>
    </row>
    <row r="19" spans="25:48" ht="15" customHeight="1" x14ac:dyDescent="0.2">
      <c r="Y19" s="26"/>
      <c r="AA19" s="25"/>
      <c r="AB19" s="45"/>
      <c r="AG19" s="25"/>
      <c r="AQ19" s="26"/>
      <c r="AU19" s="45"/>
      <c r="AV19" s="25"/>
    </row>
    <row r="20" spans="25:48" ht="15" customHeight="1" x14ac:dyDescent="0.2">
      <c r="Y20" s="26"/>
      <c r="AA20" s="25"/>
      <c r="AB20" s="45"/>
      <c r="AG20" s="25"/>
      <c r="AQ20" s="26"/>
      <c r="AU20" s="45"/>
      <c r="AV20" s="25"/>
    </row>
    <row r="21" spans="25:48" ht="15" customHeight="1" x14ac:dyDescent="0.2">
      <c r="Y21" s="26"/>
      <c r="AA21" s="25"/>
      <c r="AB21" s="45"/>
      <c r="AG21" s="25"/>
      <c r="AQ21" s="26"/>
      <c r="AU21" s="45"/>
      <c r="AV21" s="25"/>
    </row>
    <row r="22" spans="25:48" ht="15" customHeight="1" x14ac:dyDescent="0.2">
      <c r="Y22" s="26"/>
      <c r="AA22" s="25"/>
      <c r="AB22" s="45"/>
      <c r="AG22" s="25"/>
      <c r="AQ22" s="26"/>
      <c r="AU22" s="45"/>
      <c r="AV22" s="25"/>
    </row>
    <row r="23" spans="25:48" ht="15" customHeight="1" x14ac:dyDescent="0.2">
      <c r="Y23" s="26"/>
      <c r="AA23" s="25"/>
      <c r="AB23" s="45"/>
      <c r="AG23" s="25"/>
      <c r="AQ23" s="26"/>
      <c r="AU23" s="45"/>
      <c r="AV23" s="25"/>
    </row>
    <row r="24" spans="25:48" ht="15" customHeight="1" x14ac:dyDescent="0.2">
      <c r="Y24" s="26"/>
      <c r="AA24" s="25"/>
      <c r="AB24" s="45"/>
      <c r="AG24" s="25"/>
      <c r="AQ24" s="26"/>
      <c r="AU24" s="45"/>
      <c r="AV24" s="25"/>
    </row>
    <row r="25" spans="25:48" ht="15" customHeight="1" x14ac:dyDescent="0.2">
      <c r="Y25" s="26"/>
      <c r="AA25" s="25"/>
      <c r="AB25" s="45"/>
      <c r="AG25" s="25"/>
      <c r="AQ25" s="26"/>
      <c r="AU25" s="45"/>
      <c r="AV25" s="25"/>
    </row>
    <row r="26" spans="25:48" ht="15" customHeight="1" x14ac:dyDescent="0.2">
      <c r="Y26" s="26"/>
      <c r="AA26" s="25"/>
      <c r="AB26" s="45"/>
      <c r="AG26" s="25"/>
      <c r="AQ26" s="26"/>
      <c r="AU26" s="45"/>
      <c r="AV26" s="25"/>
    </row>
    <row r="27" spans="25:48" ht="15" customHeight="1" x14ac:dyDescent="0.2">
      <c r="Y27" s="26"/>
      <c r="AA27" s="25"/>
      <c r="AB27" s="45"/>
      <c r="AG27" s="25"/>
      <c r="AQ27" s="26"/>
      <c r="AU27" s="45"/>
      <c r="AV27" s="25"/>
    </row>
    <row r="28" spans="25:48" ht="15" customHeight="1" x14ac:dyDescent="0.2">
      <c r="Y28" s="26"/>
      <c r="AA28" s="25"/>
      <c r="AB28" s="45"/>
      <c r="AG28" s="25"/>
      <c r="AQ28" s="26"/>
      <c r="AU28" s="45"/>
      <c r="AV28" s="25"/>
    </row>
    <row r="29" spans="25:48" ht="15" customHeight="1" x14ac:dyDescent="0.2">
      <c r="Y29" s="26"/>
      <c r="AA29" s="25"/>
      <c r="AB29" s="45"/>
      <c r="AG29" s="25"/>
      <c r="AQ29" s="26"/>
      <c r="AU29" s="45"/>
      <c r="AV29" s="25"/>
    </row>
    <row r="30" spans="25:48" ht="15" customHeight="1" x14ac:dyDescent="0.2">
      <c r="Y30" s="26"/>
      <c r="AA30" s="25"/>
      <c r="AB30" s="45"/>
      <c r="AG30" s="25"/>
      <c r="AQ30" s="26"/>
      <c r="AU30" s="45"/>
      <c r="AV30" s="25"/>
    </row>
    <row r="31" spans="25:48" ht="15" customHeight="1" x14ac:dyDescent="0.2">
      <c r="Y31" s="26"/>
      <c r="AA31" s="25"/>
      <c r="AB31" s="45"/>
      <c r="AG31" s="25"/>
      <c r="AQ31" s="26"/>
      <c r="AU31" s="45"/>
      <c r="AV31" s="25"/>
    </row>
    <row r="32" spans="25:48" ht="15" customHeight="1" x14ac:dyDescent="0.2">
      <c r="Y32" s="26"/>
      <c r="AA32" s="25"/>
      <c r="AB32" s="45"/>
      <c r="AG32" s="25"/>
      <c r="AQ32" s="26"/>
      <c r="AU32" s="45"/>
      <c r="AV32" s="25"/>
    </row>
    <row r="33" spans="25:48" ht="15" customHeight="1" x14ac:dyDescent="0.2">
      <c r="Y33" s="26"/>
      <c r="AA33" s="25"/>
      <c r="AB33" s="45"/>
      <c r="AG33" s="25"/>
      <c r="AQ33" s="26"/>
      <c r="AU33" s="45"/>
      <c r="AV33" s="25"/>
    </row>
    <row r="34" spans="25:48" ht="15" customHeight="1" x14ac:dyDescent="0.2">
      <c r="Y34" s="26"/>
      <c r="AA34" s="25"/>
      <c r="AB34" s="45"/>
      <c r="AG34" s="25"/>
      <c r="AQ34" s="26"/>
      <c r="AU34" s="45"/>
      <c r="AV34" s="25"/>
    </row>
    <row r="35" spans="25:48" ht="15" customHeight="1" x14ac:dyDescent="0.2">
      <c r="Y35" s="26"/>
      <c r="AA35" s="25"/>
      <c r="AB35" s="45"/>
      <c r="AG35" s="25"/>
      <c r="AQ35" s="26"/>
      <c r="AU35" s="45"/>
      <c r="AV35" s="25"/>
    </row>
    <row r="36" spans="25:48" ht="15" customHeight="1" x14ac:dyDescent="0.2">
      <c r="Y36" s="26"/>
      <c r="AA36" s="25"/>
      <c r="AB36" s="45"/>
      <c r="AG36" s="25"/>
      <c r="AQ36" s="26"/>
      <c r="AU36" s="45"/>
      <c r="AV36" s="25"/>
    </row>
    <row r="37" spans="25:48" ht="15" customHeight="1" x14ac:dyDescent="0.2">
      <c r="Y37" s="26"/>
      <c r="AA37" s="25"/>
      <c r="AB37" s="45"/>
      <c r="AG37" s="25"/>
      <c r="AQ37" s="26"/>
      <c r="AU37" s="45"/>
      <c r="AV37" s="25"/>
    </row>
    <row r="38" spans="25:48" ht="15" customHeight="1" x14ac:dyDescent="0.2">
      <c r="Y38" s="26"/>
      <c r="AA38" s="25"/>
      <c r="AB38" s="45"/>
      <c r="AG38" s="25"/>
      <c r="AQ38" s="26"/>
      <c r="AU38" s="45"/>
      <c r="AV38" s="25"/>
    </row>
    <row r="39" spans="25:48" ht="15" customHeight="1" x14ac:dyDescent="0.2">
      <c r="Y39" s="26"/>
      <c r="AA39" s="25"/>
      <c r="AB39" s="45"/>
      <c r="AG39" s="25"/>
      <c r="AQ39" s="26"/>
      <c r="AU39" s="45"/>
      <c r="AV39" s="25"/>
    </row>
    <row r="40" spans="25:48" ht="15" customHeight="1" x14ac:dyDescent="0.2">
      <c r="Y40" s="26"/>
      <c r="AA40" s="25"/>
      <c r="AB40" s="45"/>
      <c r="AG40" s="25"/>
      <c r="AQ40" s="26"/>
      <c r="AU40" s="45"/>
      <c r="AV40" s="25"/>
    </row>
    <row r="41" spans="25:48" ht="15" customHeight="1" x14ac:dyDescent="0.2">
      <c r="Y41" s="26"/>
      <c r="AA41" s="25"/>
      <c r="AB41" s="45"/>
      <c r="AG41" s="25"/>
      <c r="AQ41" s="26"/>
      <c r="AU41" s="45"/>
      <c r="AV41" s="25"/>
    </row>
    <row r="42" spans="25:48" ht="15" customHeight="1" x14ac:dyDescent="0.2">
      <c r="Y42" s="26"/>
      <c r="AA42" s="25"/>
      <c r="AB42" s="45"/>
      <c r="AG42" s="25"/>
      <c r="AQ42" s="26"/>
      <c r="AU42" s="45"/>
      <c r="AV42" s="25"/>
    </row>
    <row r="43" spans="25:48" ht="15" customHeight="1" x14ac:dyDescent="0.2">
      <c r="Y43" s="26"/>
      <c r="AA43" s="25"/>
      <c r="AB43" s="45"/>
      <c r="AG43" s="25"/>
      <c r="AQ43" s="26"/>
      <c r="AU43" s="45"/>
      <c r="AV43" s="25"/>
    </row>
    <row r="44" spans="25:48" ht="15" customHeight="1" x14ac:dyDescent="0.2">
      <c r="Y44" s="26"/>
      <c r="AA44" s="25"/>
      <c r="AB44" s="45"/>
      <c r="AG44" s="25"/>
      <c r="AQ44" s="26"/>
      <c r="AU44" s="45"/>
      <c r="AV44" s="25"/>
    </row>
    <row r="45" spans="25:48" ht="15" customHeight="1" x14ac:dyDescent="0.2">
      <c r="Y45" s="26"/>
      <c r="AA45" s="25"/>
      <c r="AB45" s="45"/>
      <c r="AG45" s="25"/>
      <c r="AQ45" s="26"/>
      <c r="AU45" s="45"/>
      <c r="AV45" s="25"/>
    </row>
    <row r="46" spans="25:48" ht="15" customHeight="1" x14ac:dyDescent="0.2">
      <c r="Y46" s="26"/>
      <c r="AA46" s="25"/>
      <c r="AB46" s="45"/>
      <c r="AG46" s="25"/>
      <c r="AQ46" s="26"/>
      <c r="AU46" s="45"/>
      <c r="AV46" s="25"/>
    </row>
    <row r="47" spans="25:48" ht="15" customHeight="1" x14ac:dyDescent="0.2">
      <c r="Y47" s="26"/>
      <c r="AA47" s="25"/>
      <c r="AB47" s="45"/>
      <c r="AG47" s="25"/>
      <c r="AQ47" s="26"/>
      <c r="AU47" s="45"/>
      <c r="AV47" s="25"/>
    </row>
    <row r="48" spans="25:48" ht="15" customHeight="1" x14ac:dyDescent="0.2">
      <c r="Y48" s="26"/>
      <c r="AA48" s="25"/>
      <c r="AB48" s="45"/>
      <c r="AG48" s="25"/>
      <c r="AQ48" s="26"/>
      <c r="AU48" s="45"/>
      <c r="AV48" s="25"/>
    </row>
    <row r="49" spans="25:48" ht="15" customHeight="1" x14ac:dyDescent="0.2">
      <c r="Y49" s="26"/>
      <c r="AA49" s="25"/>
      <c r="AB49" s="45"/>
      <c r="AG49" s="25"/>
      <c r="AQ49" s="26"/>
      <c r="AU49" s="45"/>
      <c r="AV49" s="25"/>
    </row>
    <row r="50" spans="25:48" ht="15" customHeight="1" x14ac:dyDescent="0.2">
      <c r="Y50" s="26"/>
      <c r="AA50" s="25"/>
      <c r="AB50" s="45"/>
      <c r="AG50" s="25"/>
      <c r="AQ50" s="26"/>
      <c r="AU50" s="45"/>
      <c r="AV50" s="25"/>
    </row>
    <row r="51" spans="25:48" ht="15" customHeight="1" x14ac:dyDescent="0.2">
      <c r="Y51" s="26"/>
      <c r="AA51" s="25"/>
      <c r="AB51" s="45"/>
      <c r="AG51" s="25"/>
      <c r="AQ51" s="26"/>
      <c r="AU51" s="45"/>
      <c r="AV51" s="25"/>
    </row>
    <row r="52" spans="25:48" ht="15" customHeight="1" x14ac:dyDescent="0.2">
      <c r="Y52" s="26"/>
      <c r="AA52" s="25"/>
      <c r="AB52" s="45"/>
      <c r="AG52" s="25"/>
      <c r="AQ52" s="26"/>
      <c r="AU52" s="45"/>
      <c r="AV52" s="25"/>
    </row>
    <row r="53" spans="25:48" ht="15" customHeight="1" x14ac:dyDescent="0.2">
      <c r="Y53" s="26"/>
      <c r="AA53" s="25"/>
      <c r="AB53" s="45"/>
      <c r="AG53" s="25"/>
      <c r="AQ53" s="26"/>
      <c r="AU53" s="45"/>
      <c r="AV53" s="25"/>
    </row>
    <row r="54" spans="25:48" ht="15" customHeight="1" x14ac:dyDescent="0.2">
      <c r="Y54" s="26"/>
      <c r="AA54" s="25"/>
      <c r="AB54" s="45"/>
      <c r="AG54" s="25"/>
      <c r="AQ54" s="26"/>
      <c r="AU54" s="45"/>
      <c r="AV54" s="25"/>
    </row>
    <row r="55" spans="25:48" ht="15" customHeight="1" x14ac:dyDescent="0.2">
      <c r="Y55" s="26"/>
      <c r="AA55" s="25"/>
      <c r="AB55" s="45"/>
      <c r="AG55" s="25"/>
      <c r="AQ55" s="26"/>
      <c r="AU55" s="45"/>
      <c r="AV55" s="25"/>
    </row>
    <row r="56" spans="25:48" ht="15" customHeight="1" x14ac:dyDescent="0.2">
      <c r="Y56" s="26"/>
      <c r="AA56" s="25"/>
      <c r="AB56" s="45"/>
      <c r="AG56" s="25"/>
      <c r="AQ56" s="26"/>
      <c r="AU56" s="45"/>
      <c r="AV56" s="25"/>
    </row>
    <row r="57" spans="25:48" ht="15" customHeight="1" x14ac:dyDescent="0.2">
      <c r="Y57" s="26"/>
      <c r="AA57" s="25"/>
      <c r="AB57" s="45"/>
      <c r="AG57" s="25"/>
      <c r="AQ57" s="26"/>
      <c r="AU57" s="45"/>
      <c r="AV57" s="25"/>
    </row>
    <row r="58" spans="25:48" ht="15" customHeight="1" x14ac:dyDescent="0.2">
      <c r="Y58" s="26"/>
      <c r="AA58" s="25"/>
      <c r="AB58" s="45"/>
      <c r="AG58" s="25"/>
      <c r="AQ58" s="26"/>
      <c r="AU58" s="45"/>
      <c r="AV58" s="25"/>
    </row>
    <row r="59" spans="25:48" ht="15" customHeight="1" x14ac:dyDescent="0.2">
      <c r="Y59" s="26"/>
      <c r="AA59" s="25"/>
      <c r="AB59" s="45"/>
      <c r="AG59" s="25"/>
      <c r="AQ59" s="26"/>
      <c r="AU59" s="45"/>
      <c r="AV59" s="25"/>
    </row>
    <row r="60" spans="25:48" ht="15" customHeight="1" x14ac:dyDescent="0.2">
      <c r="Y60" s="26"/>
      <c r="AA60" s="25"/>
      <c r="AB60" s="45"/>
      <c r="AG60" s="25"/>
      <c r="AQ60" s="26"/>
      <c r="AU60" s="45"/>
      <c r="AV60" s="25"/>
    </row>
    <row r="61" spans="25:48" ht="15" customHeight="1" x14ac:dyDescent="0.2">
      <c r="Y61" s="26"/>
      <c r="AA61" s="25"/>
      <c r="AB61" s="45"/>
      <c r="AG61" s="25"/>
      <c r="AQ61" s="26"/>
      <c r="AU61" s="45"/>
      <c r="AV61" s="25"/>
    </row>
    <row r="62" spans="25:48" ht="15" customHeight="1" x14ac:dyDescent="0.2">
      <c r="Y62" s="26"/>
      <c r="AA62" s="25"/>
      <c r="AB62" s="45"/>
      <c r="AG62" s="25"/>
      <c r="AQ62" s="26"/>
      <c r="AU62" s="45"/>
      <c r="AV62" s="25"/>
    </row>
    <row r="63" spans="25:48" ht="15" customHeight="1" x14ac:dyDescent="0.2">
      <c r="Y63" s="26"/>
      <c r="AA63" s="25"/>
      <c r="AB63" s="45"/>
      <c r="AG63" s="25"/>
      <c r="AQ63" s="26"/>
      <c r="AU63" s="45"/>
      <c r="AV63" s="25"/>
    </row>
    <row r="64" spans="25:48" ht="15" customHeight="1" x14ac:dyDescent="0.2">
      <c r="Y64" s="26"/>
      <c r="AA64" s="25"/>
      <c r="AB64" s="45"/>
      <c r="AG64" s="25"/>
      <c r="AQ64" s="26"/>
      <c r="AU64" s="45"/>
      <c r="AV64" s="25"/>
    </row>
    <row r="65" spans="25:48" ht="15" customHeight="1" x14ac:dyDescent="0.2">
      <c r="Y65" s="26"/>
      <c r="AA65" s="25"/>
      <c r="AB65" s="45"/>
      <c r="AG65" s="25"/>
      <c r="AQ65" s="26"/>
      <c r="AU65" s="45"/>
      <c r="AV65" s="25"/>
    </row>
    <row r="66" spans="25:48" ht="15" customHeight="1" x14ac:dyDescent="0.2">
      <c r="Y66" s="26"/>
      <c r="AA66" s="25"/>
      <c r="AB66" s="45"/>
      <c r="AG66" s="25"/>
      <c r="AQ66" s="26"/>
      <c r="AU66" s="45"/>
      <c r="AV66" s="25"/>
    </row>
    <row r="67" spans="25:48" ht="15" customHeight="1" x14ac:dyDescent="0.2">
      <c r="Y67" s="26"/>
      <c r="AA67" s="25"/>
      <c r="AB67" s="45"/>
      <c r="AG67" s="25"/>
      <c r="AQ67" s="26"/>
      <c r="AU67" s="45"/>
      <c r="AV67" s="25"/>
    </row>
    <row r="68" spans="25:48" ht="15" customHeight="1" x14ac:dyDescent="0.2">
      <c r="Y68" s="26"/>
      <c r="AA68" s="25"/>
      <c r="AB68" s="45"/>
      <c r="AG68" s="25"/>
      <c r="AQ68" s="26"/>
      <c r="AU68" s="45"/>
      <c r="AV68" s="25"/>
    </row>
    <row r="69" spans="25:48" ht="15" customHeight="1" x14ac:dyDescent="0.2">
      <c r="Y69" s="26"/>
      <c r="AA69" s="25"/>
      <c r="AB69" s="45"/>
      <c r="AG69" s="25"/>
      <c r="AQ69" s="26"/>
      <c r="AU69" s="45"/>
      <c r="AV69" s="25"/>
    </row>
    <row r="70" spans="25:48" ht="15" customHeight="1" x14ac:dyDescent="0.2">
      <c r="Y70" s="26"/>
      <c r="AA70" s="25"/>
      <c r="AB70" s="45"/>
      <c r="AG70" s="25"/>
      <c r="AQ70" s="26"/>
      <c r="AU70" s="45"/>
      <c r="AV70" s="25"/>
    </row>
    <row r="71" spans="25:48" ht="15" customHeight="1" x14ac:dyDescent="0.2">
      <c r="Y71" s="26"/>
      <c r="AA71" s="25"/>
      <c r="AB71" s="45"/>
      <c r="AG71" s="25"/>
      <c r="AQ71" s="26"/>
      <c r="AU71" s="45"/>
      <c r="AV71" s="25"/>
    </row>
    <row r="72" spans="25:48" ht="15" customHeight="1" x14ac:dyDescent="0.2">
      <c r="Y72" s="26"/>
      <c r="AA72" s="25"/>
      <c r="AB72" s="45"/>
      <c r="AG72" s="25"/>
      <c r="AQ72" s="26"/>
      <c r="AU72" s="45"/>
      <c r="AV72" s="25"/>
    </row>
    <row r="73" spans="25:48" ht="15" customHeight="1" x14ac:dyDescent="0.2">
      <c r="Y73" s="26"/>
      <c r="AA73" s="25"/>
      <c r="AB73" s="45"/>
      <c r="AG73" s="25"/>
      <c r="AQ73" s="26"/>
      <c r="AU73" s="45"/>
      <c r="AV73" s="25"/>
    </row>
    <row r="74" spans="25:48" ht="15" customHeight="1" x14ac:dyDescent="0.2">
      <c r="Y74" s="26"/>
      <c r="AA74" s="25"/>
      <c r="AB74" s="45"/>
      <c r="AG74" s="25"/>
      <c r="AQ74" s="26"/>
      <c r="AU74" s="45"/>
      <c r="AV74" s="25"/>
    </row>
    <row r="75" spans="25:48" ht="15" customHeight="1" x14ac:dyDescent="0.2">
      <c r="Y75" s="26"/>
      <c r="AA75" s="25"/>
      <c r="AB75" s="45"/>
      <c r="AG75" s="25"/>
      <c r="AQ75" s="26"/>
      <c r="AU75" s="45"/>
      <c r="AV75" s="25"/>
    </row>
    <row r="76" spans="25:48" ht="15" customHeight="1" x14ac:dyDescent="0.2">
      <c r="Y76" s="26"/>
      <c r="AA76" s="25"/>
      <c r="AB76" s="45"/>
      <c r="AG76" s="25"/>
      <c r="AQ76" s="26"/>
      <c r="AU76" s="45"/>
      <c r="AV76" s="25"/>
    </row>
    <row r="77" spans="25:48" ht="15" customHeight="1" x14ac:dyDescent="0.2">
      <c r="Y77" s="26"/>
      <c r="AA77" s="25"/>
      <c r="AB77" s="45"/>
      <c r="AG77" s="25"/>
      <c r="AQ77" s="26"/>
      <c r="AU77" s="45"/>
      <c r="AV77" s="25"/>
    </row>
    <row r="78" spans="25:48" ht="15" customHeight="1" x14ac:dyDescent="0.2">
      <c r="Y78" s="26"/>
      <c r="AA78" s="25"/>
      <c r="AB78" s="45"/>
      <c r="AG78" s="25"/>
      <c r="AQ78" s="26"/>
      <c r="AU78" s="45"/>
      <c r="AV78" s="25"/>
    </row>
    <row r="79" spans="25:48" ht="15" customHeight="1" x14ac:dyDescent="0.2">
      <c r="Y79" s="26"/>
      <c r="AA79" s="25"/>
      <c r="AB79" s="45"/>
      <c r="AG79" s="25"/>
      <c r="AQ79" s="26"/>
      <c r="AU79" s="45"/>
      <c r="AV79" s="25"/>
    </row>
    <row r="80" spans="25:48" ht="15" customHeight="1" x14ac:dyDescent="0.2">
      <c r="Y80" s="26"/>
      <c r="AA80" s="25"/>
      <c r="AB80" s="45"/>
      <c r="AG80" s="25"/>
      <c r="AQ80" s="26"/>
      <c r="AU80" s="45"/>
      <c r="AV80" s="25"/>
    </row>
    <row r="81" spans="25:48" ht="15" customHeight="1" x14ac:dyDescent="0.2">
      <c r="Y81" s="26"/>
      <c r="AA81" s="25"/>
      <c r="AB81" s="45"/>
      <c r="AG81" s="25"/>
      <c r="AQ81" s="26"/>
      <c r="AU81" s="45"/>
      <c r="AV81" s="25"/>
    </row>
    <row r="82" spans="25:48" ht="15" customHeight="1" x14ac:dyDescent="0.2">
      <c r="Y82" s="26"/>
      <c r="AA82" s="25"/>
      <c r="AB82" s="45"/>
      <c r="AG82" s="25"/>
      <c r="AQ82" s="26"/>
      <c r="AU82" s="45"/>
      <c r="AV82" s="25"/>
    </row>
    <row r="83" spans="25:48" ht="15" customHeight="1" x14ac:dyDescent="0.2">
      <c r="Y83" s="26"/>
      <c r="AA83" s="25"/>
      <c r="AB83" s="45"/>
      <c r="AG83" s="25"/>
      <c r="AQ83" s="26"/>
      <c r="AU83" s="45"/>
      <c r="AV83" s="25"/>
    </row>
    <row r="84" spans="25:48" ht="15" customHeight="1" x14ac:dyDescent="0.2">
      <c r="Y84" s="26"/>
      <c r="AA84" s="25"/>
      <c r="AB84" s="45"/>
      <c r="AG84" s="25"/>
      <c r="AQ84" s="26"/>
      <c r="AU84" s="45"/>
      <c r="AV84" s="25"/>
    </row>
    <row r="85" spans="25:48" ht="15" customHeight="1" x14ac:dyDescent="0.2">
      <c r="Y85" s="26"/>
      <c r="AA85" s="25"/>
      <c r="AB85" s="45"/>
      <c r="AG85" s="25"/>
      <c r="AQ85" s="26"/>
      <c r="AU85" s="45"/>
      <c r="AV85" s="25"/>
    </row>
    <row r="86" spans="25:48" ht="15" customHeight="1" x14ac:dyDescent="0.2">
      <c r="Y86" s="26"/>
      <c r="AA86" s="25"/>
      <c r="AB86" s="45"/>
      <c r="AG86" s="25"/>
      <c r="AQ86" s="26"/>
      <c r="AU86" s="45"/>
      <c r="AV86" s="25"/>
    </row>
    <row r="87" spans="25:48" ht="15" customHeight="1" x14ac:dyDescent="0.2">
      <c r="Y87" s="26"/>
      <c r="AA87" s="25"/>
      <c r="AB87" s="45"/>
      <c r="AG87" s="25"/>
      <c r="AQ87" s="26"/>
      <c r="AU87" s="45"/>
      <c r="AV87" s="25"/>
    </row>
    <row r="88" spans="25:48" ht="15" customHeight="1" x14ac:dyDescent="0.2">
      <c r="Y88" s="26"/>
      <c r="AA88" s="25"/>
      <c r="AB88" s="45"/>
      <c r="AG88" s="25"/>
      <c r="AQ88" s="26"/>
      <c r="AU88" s="45"/>
      <c r="AV88" s="25"/>
    </row>
    <row r="89" spans="25:48" ht="15" customHeight="1" x14ac:dyDescent="0.2">
      <c r="Y89" s="26"/>
      <c r="AA89" s="25"/>
      <c r="AB89" s="45"/>
      <c r="AG89" s="25"/>
      <c r="AQ89" s="26"/>
      <c r="AU89" s="45"/>
      <c r="AV89" s="25"/>
    </row>
    <row r="90" spans="25:48" ht="15" customHeight="1" x14ac:dyDescent="0.2">
      <c r="Y90" s="26"/>
      <c r="AA90" s="25"/>
      <c r="AB90" s="45"/>
      <c r="AG90" s="25"/>
      <c r="AQ90" s="26"/>
      <c r="AU90" s="45"/>
      <c r="AV90" s="25"/>
    </row>
    <row r="91" spans="25:48" ht="15" customHeight="1" x14ac:dyDescent="0.2">
      <c r="Y91" s="26"/>
      <c r="AA91" s="25"/>
      <c r="AB91" s="45"/>
      <c r="AG91" s="25"/>
      <c r="AQ91" s="26"/>
      <c r="AU91" s="45"/>
      <c r="AV91" s="25"/>
    </row>
    <row r="92" spans="25:48" ht="15" customHeight="1" x14ac:dyDescent="0.2">
      <c r="Y92" s="26"/>
      <c r="AA92" s="25"/>
      <c r="AB92" s="45"/>
      <c r="AG92" s="25"/>
      <c r="AQ92" s="26"/>
      <c r="AU92" s="45"/>
      <c r="AV92" s="25"/>
    </row>
    <row r="93" spans="25:48" ht="15" customHeight="1" x14ac:dyDescent="0.2">
      <c r="Y93" s="26"/>
      <c r="AA93" s="25"/>
      <c r="AB93" s="45"/>
      <c r="AG93" s="25"/>
      <c r="AQ93" s="26"/>
      <c r="AU93" s="45"/>
      <c r="AV93" s="25"/>
    </row>
    <row r="94" spans="25:48" ht="15" customHeight="1" x14ac:dyDescent="0.2">
      <c r="Y94" s="26"/>
      <c r="AA94" s="25"/>
      <c r="AB94" s="45"/>
      <c r="AG94" s="25"/>
      <c r="AQ94" s="26"/>
      <c r="AU94" s="45"/>
      <c r="AV94" s="25"/>
    </row>
    <row r="95" spans="25:48" ht="15" customHeight="1" x14ac:dyDescent="0.2">
      <c r="Y95" s="26"/>
      <c r="AA95" s="25"/>
      <c r="AB95" s="45"/>
      <c r="AG95" s="25"/>
      <c r="AQ95" s="26"/>
      <c r="AU95" s="45"/>
      <c r="AV95" s="25"/>
    </row>
    <row r="96" spans="25:48" ht="15" customHeight="1" x14ac:dyDescent="0.2">
      <c r="Y96" s="26"/>
      <c r="AA96" s="25"/>
      <c r="AB96" s="45"/>
      <c r="AG96" s="25"/>
      <c r="AQ96" s="26"/>
      <c r="AU96" s="45"/>
      <c r="AV96" s="25"/>
    </row>
    <row r="97" spans="25:48" ht="15" customHeight="1" x14ac:dyDescent="0.2">
      <c r="Y97" s="26"/>
      <c r="AA97" s="25"/>
      <c r="AB97" s="45"/>
      <c r="AG97" s="25"/>
      <c r="AQ97" s="26"/>
      <c r="AU97" s="45"/>
      <c r="AV97" s="25"/>
    </row>
    <row r="98" spans="25:48" ht="15" customHeight="1" x14ac:dyDescent="0.2">
      <c r="Y98" s="26"/>
      <c r="AA98" s="25"/>
      <c r="AB98" s="45"/>
      <c r="AG98" s="25"/>
      <c r="AQ98" s="26"/>
      <c r="AU98" s="45"/>
      <c r="AV98" s="25"/>
    </row>
    <row r="99" spans="25:48" ht="15" customHeight="1" x14ac:dyDescent="0.2">
      <c r="Y99" s="26"/>
      <c r="AA99" s="25"/>
      <c r="AB99" s="45"/>
      <c r="AG99" s="25"/>
      <c r="AQ99" s="26"/>
      <c r="AU99" s="45"/>
      <c r="AV99" s="25"/>
    </row>
    <row r="100" spans="25:48" ht="15" customHeight="1" x14ac:dyDescent="0.2">
      <c r="Y100" s="26"/>
      <c r="AA100" s="25"/>
      <c r="AB100" s="45"/>
      <c r="AG100" s="25"/>
      <c r="AQ100" s="26"/>
      <c r="AU100" s="45"/>
      <c r="AV100" s="25"/>
    </row>
    <row r="101" spans="25:48" ht="15" customHeight="1" x14ac:dyDescent="0.2">
      <c r="Y101" s="26"/>
      <c r="AA101" s="25"/>
      <c r="AB101" s="45"/>
      <c r="AG101" s="25"/>
      <c r="AQ101" s="26"/>
      <c r="AU101" s="45"/>
      <c r="AV101" s="25"/>
    </row>
    <row r="102" spans="25:48" ht="15" customHeight="1" x14ac:dyDescent="0.2">
      <c r="Y102" s="26"/>
      <c r="AA102" s="25"/>
      <c r="AB102" s="45"/>
      <c r="AG102" s="25"/>
      <c r="AQ102" s="26"/>
      <c r="AU102" s="45"/>
      <c r="AV102" s="25"/>
    </row>
    <row r="103" spans="25:48" ht="15" customHeight="1" x14ac:dyDescent="0.2">
      <c r="Y103" s="26"/>
      <c r="AA103" s="25"/>
      <c r="AB103" s="45"/>
      <c r="AG103" s="25"/>
      <c r="AQ103" s="26"/>
      <c r="AU103" s="45"/>
      <c r="AV103" s="25"/>
    </row>
    <row r="104" spans="25:48" ht="15" customHeight="1" x14ac:dyDescent="0.2">
      <c r="Y104" s="26"/>
      <c r="AA104" s="25"/>
      <c r="AB104" s="45"/>
      <c r="AG104" s="25"/>
      <c r="AQ104" s="26"/>
      <c r="AU104" s="45"/>
      <c r="AV104" s="25"/>
    </row>
    <row r="105" spans="25:48" ht="15" customHeight="1" x14ac:dyDescent="0.2">
      <c r="Y105" s="26"/>
      <c r="AA105" s="25"/>
      <c r="AB105" s="45"/>
      <c r="AG105" s="25"/>
      <c r="AQ105" s="26"/>
      <c r="AU105" s="45"/>
      <c r="AV105" s="25"/>
    </row>
    <row r="106" spans="25:48" ht="15" customHeight="1" x14ac:dyDescent="0.2">
      <c r="Y106" s="26"/>
      <c r="AA106" s="25"/>
      <c r="AB106" s="45"/>
      <c r="AG106" s="25"/>
      <c r="AQ106" s="26"/>
      <c r="AU106" s="45"/>
      <c r="AV106" s="25"/>
    </row>
    <row r="107" spans="25:48" ht="15" customHeight="1" x14ac:dyDescent="0.2">
      <c r="Y107" s="26"/>
      <c r="AA107" s="25"/>
      <c r="AB107" s="45"/>
      <c r="AG107" s="25"/>
      <c r="AQ107" s="26"/>
      <c r="AU107" s="45"/>
      <c r="AV107" s="25"/>
    </row>
    <row r="108" spans="25:48" ht="15" customHeight="1" x14ac:dyDescent="0.2">
      <c r="Y108" s="26"/>
      <c r="AA108" s="25"/>
      <c r="AB108" s="45"/>
      <c r="AG108" s="25"/>
      <c r="AQ108" s="26"/>
      <c r="AU108" s="45"/>
      <c r="AV108" s="25"/>
    </row>
    <row r="109" spans="25:48" ht="15" customHeight="1" x14ac:dyDescent="0.2">
      <c r="Y109" s="26"/>
      <c r="AA109" s="25"/>
      <c r="AB109" s="45"/>
      <c r="AG109" s="25"/>
      <c r="AQ109" s="26"/>
      <c r="AU109" s="45"/>
      <c r="AV109" s="25"/>
    </row>
    <row r="110" spans="25:48" ht="15" customHeight="1" x14ac:dyDescent="0.2">
      <c r="Y110" s="26"/>
      <c r="AA110" s="25"/>
      <c r="AB110" s="45"/>
      <c r="AG110" s="25"/>
      <c r="AQ110" s="26"/>
      <c r="AU110" s="45"/>
      <c r="AV110" s="25"/>
    </row>
    <row r="111" spans="25:48" ht="15" customHeight="1" x14ac:dyDescent="0.2">
      <c r="Y111" s="26"/>
      <c r="AA111" s="25"/>
      <c r="AB111" s="45"/>
      <c r="AG111" s="25"/>
      <c r="AQ111" s="26"/>
      <c r="AU111" s="45"/>
      <c r="AV111" s="25"/>
    </row>
    <row r="112" spans="25:48" ht="15" customHeight="1" x14ac:dyDescent="0.2">
      <c r="Y112" s="26"/>
      <c r="AA112" s="25"/>
      <c r="AB112" s="45"/>
      <c r="AG112" s="25"/>
      <c r="AQ112" s="26"/>
      <c r="AU112" s="45"/>
      <c r="AV112" s="25"/>
    </row>
    <row r="113" spans="25:48" ht="15" customHeight="1" x14ac:dyDescent="0.2">
      <c r="Y113" s="26"/>
      <c r="AA113" s="25"/>
      <c r="AB113" s="45"/>
      <c r="AG113" s="25"/>
      <c r="AQ113" s="26"/>
      <c r="AU113" s="45"/>
      <c r="AV113" s="25"/>
    </row>
    <row r="114" spans="25:48" ht="15" customHeight="1" x14ac:dyDescent="0.2">
      <c r="Y114" s="26"/>
      <c r="AA114" s="25"/>
      <c r="AB114" s="45"/>
      <c r="AG114" s="25"/>
      <c r="AQ114" s="26"/>
      <c r="AU114" s="45"/>
      <c r="AV114" s="25"/>
    </row>
    <row r="115" spans="25:48" ht="15" customHeight="1" x14ac:dyDescent="0.2">
      <c r="Y115" s="26"/>
      <c r="AA115" s="25"/>
      <c r="AB115" s="45"/>
      <c r="AG115" s="25"/>
      <c r="AQ115" s="26"/>
      <c r="AU115" s="45"/>
      <c r="AV115" s="25"/>
    </row>
    <row r="116" spans="25:48" ht="15" customHeight="1" x14ac:dyDescent="0.2">
      <c r="Y116" s="26"/>
      <c r="AA116" s="25"/>
      <c r="AB116" s="45"/>
      <c r="AG116" s="25"/>
      <c r="AQ116" s="26"/>
      <c r="AU116" s="45"/>
      <c r="AV116" s="25"/>
    </row>
    <row r="117" spans="25:48" ht="15" customHeight="1" x14ac:dyDescent="0.2">
      <c r="Y117" s="26"/>
      <c r="AA117" s="25"/>
      <c r="AB117" s="45"/>
      <c r="AG117" s="25"/>
      <c r="AQ117" s="26"/>
      <c r="AU117" s="45"/>
      <c r="AV117" s="25"/>
    </row>
    <row r="118" spans="25:48" ht="15" customHeight="1" x14ac:dyDescent="0.2">
      <c r="Y118" s="26"/>
      <c r="AA118" s="25"/>
      <c r="AB118" s="45"/>
      <c r="AG118" s="25"/>
      <c r="AQ118" s="26"/>
      <c r="AU118" s="45"/>
      <c r="AV118" s="25"/>
    </row>
    <row r="119" spans="25:48" ht="15" customHeight="1" x14ac:dyDescent="0.2">
      <c r="Y119" s="26"/>
      <c r="AA119" s="25"/>
      <c r="AB119" s="45"/>
      <c r="AG119" s="25"/>
      <c r="AQ119" s="26"/>
      <c r="AU119" s="45"/>
      <c r="AV119" s="25"/>
    </row>
    <row r="120" spans="25:48" ht="15" customHeight="1" x14ac:dyDescent="0.2">
      <c r="Y120" s="26"/>
      <c r="AA120" s="25"/>
      <c r="AB120" s="45"/>
      <c r="AG120" s="25"/>
      <c r="AQ120" s="26"/>
      <c r="AU120" s="45"/>
      <c r="AV120" s="25"/>
    </row>
    <row r="121" spans="25:48" ht="15" customHeight="1" x14ac:dyDescent="0.2">
      <c r="Y121" s="26"/>
      <c r="AA121" s="25"/>
      <c r="AB121" s="45"/>
      <c r="AG121" s="25"/>
      <c r="AQ121" s="26"/>
      <c r="AU121" s="45"/>
      <c r="AV121" s="25"/>
    </row>
    <row r="122" spans="25:48" ht="15" customHeight="1" x14ac:dyDescent="0.2">
      <c r="Y122" s="26"/>
      <c r="AA122" s="25"/>
      <c r="AB122" s="45"/>
      <c r="AG122" s="25"/>
      <c r="AQ122" s="26"/>
      <c r="AU122" s="45"/>
      <c r="AV122" s="25"/>
    </row>
    <row r="123" spans="25:48" ht="15" customHeight="1" x14ac:dyDescent="0.2">
      <c r="Y123" s="26"/>
      <c r="AA123" s="25"/>
      <c r="AB123" s="45"/>
      <c r="AG123" s="25"/>
      <c r="AQ123" s="26"/>
      <c r="AU123" s="45"/>
      <c r="AV123" s="25"/>
    </row>
    <row r="124" spans="25:48" ht="15" customHeight="1" x14ac:dyDescent="0.2">
      <c r="Y124" s="26"/>
      <c r="AA124" s="25"/>
      <c r="AB124" s="45"/>
      <c r="AG124" s="25"/>
      <c r="AQ124" s="26"/>
      <c r="AU124" s="45"/>
      <c r="AV124" s="25"/>
    </row>
    <row r="125" spans="25:48" ht="15" customHeight="1" x14ac:dyDescent="0.2">
      <c r="Y125" s="26"/>
      <c r="AA125" s="25"/>
      <c r="AB125" s="45"/>
      <c r="AG125" s="25"/>
      <c r="AQ125" s="26"/>
      <c r="AU125" s="45"/>
      <c r="AV125" s="25"/>
    </row>
    <row r="126" spans="25:48" ht="15" customHeight="1" x14ac:dyDescent="0.2">
      <c r="Y126" s="26"/>
      <c r="AA126" s="25"/>
      <c r="AB126" s="45"/>
      <c r="AG126" s="25"/>
      <c r="AQ126" s="26"/>
      <c r="AU126" s="45"/>
      <c r="AV126" s="25"/>
    </row>
    <row r="127" spans="25:48" ht="15" customHeight="1" x14ac:dyDescent="0.2">
      <c r="Y127" s="26"/>
      <c r="AA127" s="25"/>
      <c r="AB127" s="45"/>
      <c r="AG127" s="25"/>
      <c r="AQ127" s="26"/>
      <c r="AU127" s="45"/>
      <c r="AV127" s="25"/>
    </row>
    <row r="128" spans="25:48" ht="15" customHeight="1" x14ac:dyDescent="0.2">
      <c r="Y128" s="26"/>
      <c r="AA128" s="25"/>
      <c r="AB128" s="45"/>
      <c r="AG128" s="25"/>
      <c r="AQ128" s="26"/>
      <c r="AU128" s="45"/>
      <c r="AV128" s="25"/>
    </row>
    <row r="129" spans="25:48" ht="15" customHeight="1" x14ac:dyDescent="0.2">
      <c r="Y129" s="26"/>
      <c r="AA129" s="25"/>
      <c r="AB129" s="45"/>
      <c r="AG129" s="25"/>
      <c r="AQ129" s="26"/>
      <c r="AU129" s="45"/>
      <c r="AV129" s="25"/>
    </row>
    <row r="130" spans="25:48" ht="15" customHeight="1" x14ac:dyDescent="0.2">
      <c r="Y130" s="26"/>
      <c r="AA130" s="25"/>
      <c r="AB130" s="45"/>
      <c r="AG130" s="25"/>
      <c r="AQ130" s="26"/>
      <c r="AU130" s="45"/>
      <c r="AV130" s="25"/>
    </row>
    <row r="131" spans="25:48" ht="15" customHeight="1" x14ac:dyDescent="0.2">
      <c r="Y131" s="26"/>
      <c r="AA131" s="25"/>
      <c r="AB131" s="45"/>
      <c r="AG131" s="25"/>
      <c r="AQ131" s="26"/>
      <c r="AU131" s="45"/>
      <c r="AV131" s="25"/>
    </row>
    <row r="132" spans="25:48" ht="15" customHeight="1" x14ac:dyDescent="0.2">
      <c r="Y132" s="26"/>
      <c r="AA132" s="25"/>
      <c r="AB132" s="45"/>
      <c r="AG132" s="25"/>
      <c r="AQ132" s="26"/>
      <c r="AU132" s="45"/>
      <c r="AV132" s="25"/>
    </row>
    <row r="133" spans="25:48" ht="15" customHeight="1" x14ac:dyDescent="0.2">
      <c r="Y133" s="26"/>
      <c r="AA133" s="25"/>
      <c r="AB133" s="45"/>
      <c r="AG133" s="25"/>
      <c r="AQ133" s="26"/>
      <c r="AU133" s="45"/>
      <c r="AV133" s="25"/>
    </row>
    <row r="134" spans="25:48" ht="15" customHeight="1" x14ac:dyDescent="0.2">
      <c r="Y134" s="26"/>
      <c r="AA134" s="25"/>
      <c r="AB134" s="45"/>
      <c r="AG134" s="25"/>
      <c r="AQ134" s="26"/>
      <c r="AU134" s="45"/>
      <c r="AV134" s="25"/>
    </row>
    <row r="135" spans="25:48" ht="15" customHeight="1" x14ac:dyDescent="0.2">
      <c r="Y135" s="26"/>
      <c r="AA135" s="25"/>
      <c r="AB135" s="45"/>
      <c r="AG135" s="25"/>
      <c r="AQ135" s="26"/>
      <c r="AU135" s="45"/>
      <c r="AV135" s="25"/>
    </row>
    <row r="136" spans="25:48" ht="15" customHeight="1" x14ac:dyDescent="0.2">
      <c r="Y136" s="26"/>
      <c r="AA136" s="25"/>
      <c r="AB136" s="45"/>
      <c r="AG136" s="25"/>
      <c r="AQ136" s="26"/>
      <c r="AU136" s="45"/>
      <c r="AV136" s="25"/>
    </row>
    <row r="137" spans="25:48" ht="15" customHeight="1" x14ac:dyDescent="0.2">
      <c r="Y137" s="26"/>
      <c r="AA137" s="25"/>
      <c r="AB137" s="45"/>
      <c r="AG137" s="25"/>
      <c r="AQ137" s="26"/>
      <c r="AU137" s="45"/>
      <c r="AV137" s="25"/>
    </row>
    <row r="138" spans="25:48" ht="15" customHeight="1" x14ac:dyDescent="0.2">
      <c r="Y138" s="26"/>
      <c r="AA138" s="25"/>
      <c r="AB138" s="45"/>
      <c r="AG138" s="25"/>
      <c r="AQ138" s="26"/>
      <c r="AU138" s="45"/>
      <c r="AV138" s="25"/>
    </row>
    <row r="139" spans="25:48" ht="15" customHeight="1" x14ac:dyDescent="0.2">
      <c r="Y139" s="26"/>
      <c r="AA139" s="25"/>
      <c r="AB139" s="45"/>
      <c r="AG139" s="25"/>
      <c r="AQ139" s="26"/>
      <c r="AU139" s="45"/>
      <c r="AV139" s="25"/>
    </row>
    <row r="140" spans="25:48" ht="15" customHeight="1" x14ac:dyDescent="0.2">
      <c r="Y140" s="26"/>
      <c r="AA140" s="25"/>
      <c r="AB140" s="45"/>
      <c r="AG140" s="25"/>
      <c r="AQ140" s="26"/>
      <c r="AU140" s="45"/>
      <c r="AV140" s="25"/>
    </row>
    <row r="141" spans="25:48" ht="15" customHeight="1" x14ac:dyDescent="0.2">
      <c r="Y141" s="26"/>
      <c r="AA141" s="25"/>
      <c r="AB141" s="45"/>
      <c r="AG141" s="25"/>
      <c r="AQ141" s="26"/>
      <c r="AU141" s="45"/>
      <c r="AV141" s="25"/>
    </row>
    <row r="142" spans="25:48" ht="15" customHeight="1" x14ac:dyDescent="0.2">
      <c r="Y142" s="26"/>
      <c r="AA142" s="25"/>
      <c r="AB142" s="45"/>
      <c r="AG142" s="25"/>
      <c r="AQ142" s="26"/>
      <c r="AU142" s="45"/>
      <c r="AV142" s="25"/>
    </row>
    <row r="143" spans="25:48" ht="15" customHeight="1" x14ac:dyDescent="0.2">
      <c r="Y143" s="26"/>
      <c r="AA143" s="25"/>
      <c r="AB143" s="45"/>
      <c r="AG143" s="25"/>
      <c r="AQ143" s="26"/>
      <c r="AU143" s="45"/>
      <c r="AV143" s="25"/>
    </row>
    <row r="144" spans="25:48" ht="15" customHeight="1" x14ac:dyDescent="0.2">
      <c r="Y144" s="26"/>
      <c r="AA144" s="25"/>
      <c r="AB144" s="45"/>
      <c r="AG144" s="25"/>
      <c r="AQ144" s="26"/>
      <c r="AU144" s="45"/>
      <c r="AV144" s="25"/>
    </row>
    <row r="145" spans="25:48" ht="15" customHeight="1" x14ac:dyDescent="0.2">
      <c r="Y145" s="26"/>
      <c r="AA145" s="25"/>
      <c r="AB145" s="45"/>
      <c r="AG145" s="25"/>
      <c r="AQ145" s="26"/>
      <c r="AU145" s="45"/>
      <c r="AV145" s="25"/>
    </row>
    <row r="146" spans="25:48" ht="15" customHeight="1" x14ac:dyDescent="0.2">
      <c r="Y146" s="26"/>
      <c r="AA146" s="25"/>
      <c r="AB146" s="45"/>
      <c r="AG146" s="25"/>
      <c r="AQ146" s="26"/>
      <c r="AU146" s="45"/>
      <c r="AV146" s="25"/>
    </row>
    <row r="147" spans="25:48" ht="15" customHeight="1" x14ac:dyDescent="0.2">
      <c r="Y147" s="26"/>
      <c r="AA147" s="25"/>
      <c r="AB147" s="45"/>
      <c r="AG147" s="25"/>
      <c r="AQ147" s="26"/>
      <c r="AU147" s="45"/>
      <c r="AV147" s="25"/>
    </row>
    <row r="148" spans="25:48" ht="15" customHeight="1" x14ac:dyDescent="0.2">
      <c r="Y148" s="26"/>
      <c r="AA148" s="25"/>
      <c r="AB148" s="45"/>
      <c r="AG148" s="25"/>
      <c r="AQ148" s="26"/>
      <c r="AU148" s="45"/>
      <c r="AV148" s="25"/>
    </row>
    <row r="149" spans="25:48" ht="15" customHeight="1" x14ac:dyDescent="0.2">
      <c r="Y149" s="26"/>
      <c r="AA149" s="25"/>
      <c r="AB149" s="45"/>
      <c r="AG149" s="25"/>
      <c r="AQ149" s="26"/>
      <c r="AU149" s="45"/>
      <c r="AV149" s="25"/>
    </row>
    <row r="150" spans="25:48" ht="15" customHeight="1" x14ac:dyDescent="0.2">
      <c r="Y150" s="26"/>
      <c r="AA150" s="25"/>
      <c r="AB150" s="45"/>
      <c r="AG150" s="25"/>
      <c r="AQ150" s="26"/>
      <c r="AU150" s="45"/>
      <c r="AV150" s="25"/>
    </row>
    <row r="151" spans="25:48" ht="15" customHeight="1" x14ac:dyDescent="0.2">
      <c r="Y151" s="26"/>
      <c r="AA151" s="25"/>
      <c r="AB151" s="45"/>
      <c r="AG151" s="25"/>
      <c r="AQ151" s="26"/>
      <c r="AU151" s="45"/>
      <c r="AV151" s="25"/>
    </row>
    <row r="152" spans="25:48" ht="15" customHeight="1" x14ac:dyDescent="0.2">
      <c r="Y152" s="26"/>
      <c r="AA152" s="25"/>
      <c r="AB152" s="45"/>
      <c r="AG152" s="25"/>
      <c r="AQ152" s="26"/>
      <c r="AU152" s="45"/>
      <c r="AV152" s="25"/>
    </row>
    <row r="153" spans="25:48" ht="15" customHeight="1" x14ac:dyDescent="0.2">
      <c r="Y153" s="26"/>
      <c r="AA153" s="25"/>
      <c r="AB153" s="45"/>
      <c r="AG153" s="25"/>
      <c r="AQ153" s="26"/>
      <c r="AU153" s="45"/>
      <c r="AV153" s="25"/>
    </row>
    <row r="154" spans="25:48" ht="15" customHeight="1" x14ac:dyDescent="0.2">
      <c r="Y154" s="26"/>
      <c r="AA154" s="25"/>
      <c r="AB154" s="45"/>
      <c r="AG154" s="25"/>
      <c r="AQ154" s="26"/>
      <c r="AU154" s="45"/>
      <c r="AV154" s="25"/>
    </row>
    <row r="155" spans="25:48" ht="15" customHeight="1" x14ac:dyDescent="0.2">
      <c r="Y155" s="26"/>
      <c r="AA155" s="25"/>
      <c r="AB155" s="45"/>
      <c r="AG155" s="25"/>
      <c r="AQ155" s="26"/>
      <c r="AU155" s="45"/>
      <c r="AV155" s="25"/>
    </row>
    <row r="156" spans="25:48" ht="15" customHeight="1" x14ac:dyDescent="0.2">
      <c r="Y156" s="26"/>
      <c r="AA156" s="25"/>
      <c r="AB156" s="45"/>
      <c r="AG156" s="25"/>
      <c r="AQ156" s="26"/>
      <c r="AU156" s="45"/>
      <c r="AV156" s="25"/>
    </row>
    <row r="157" spans="25:48" ht="15" customHeight="1" x14ac:dyDescent="0.2">
      <c r="Y157" s="26"/>
      <c r="AA157" s="25"/>
      <c r="AB157" s="45"/>
      <c r="AG157" s="25"/>
      <c r="AQ157" s="26"/>
      <c r="AU157" s="45"/>
      <c r="AV157" s="25"/>
    </row>
    <row r="158" spans="25:48" ht="15" customHeight="1" x14ac:dyDescent="0.2">
      <c r="Y158" s="26"/>
      <c r="AA158" s="25"/>
      <c r="AB158" s="45"/>
      <c r="AG158" s="25"/>
      <c r="AQ158" s="26"/>
      <c r="AU158" s="45"/>
      <c r="AV158" s="25"/>
    </row>
    <row r="159" spans="25:48" ht="15" customHeight="1" x14ac:dyDescent="0.2">
      <c r="Y159" s="26"/>
      <c r="AA159" s="25"/>
      <c r="AB159" s="45"/>
      <c r="AG159" s="25"/>
      <c r="AQ159" s="26"/>
      <c r="AU159" s="45"/>
      <c r="AV159" s="25"/>
    </row>
    <row r="160" spans="25:48" ht="15" customHeight="1" x14ac:dyDescent="0.2">
      <c r="Y160" s="26"/>
      <c r="AA160" s="25"/>
      <c r="AB160" s="45"/>
      <c r="AG160" s="25"/>
      <c r="AQ160" s="26"/>
      <c r="AU160" s="45"/>
      <c r="AV160" s="25"/>
    </row>
    <row r="161" spans="25:48" ht="15" customHeight="1" x14ac:dyDescent="0.2">
      <c r="Y161" s="26"/>
      <c r="AA161" s="25"/>
      <c r="AB161" s="45"/>
      <c r="AG161" s="25"/>
      <c r="AQ161" s="26"/>
      <c r="AU161" s="45"/>
      <c r="AV161" s="25"/>
    </row>
    <row r="162" spans="25:48" ht="15" customHeight="1" x14ac:dyDescent="0.2">
      <c r="Y162" s="26"/>
      <c r="AA162" s="25"/>
      <c r="AB162" s="45"/>
      <c r="AG162" s="25"/>
      <c r="AQ162" s="26"/>
      <c r="AU162" s="45"/>
      <c r="AV162" s="25"/>
    </row>
    <row r="163" spans="25:48" ht="15" customHeight="1" x14ac:dyDescent="0.2">
      <c r="Y163" s="26"/>
      <c r="AA163" s="25"/>
      <c r="AB163" s="45"/>
      <c r="AG163" s="25"/>
      <c r="AQ163" s="26"/>
      <c r="AU163" s="45"/>
      <c r="AV163" s="25"/>
    </row>
    <row r="164" spans="25:48" ht="15" customHeight="1" x14ac:dyDescent="0.2">
      <c r="Y164" s="26"/>
      <c r="AA164" s="25"/>
      <c r="AB164" s="45"/>
      <c r="AG164" s="25"/>
      <c r="AQ164" s="26"/>
      <c r="AU164" s="45"/>
      <c r="AV164" s="25"/>
    </row>
    <row r="165" spans="25:48" ht="15" customHeight="1" x14ac:dyDescent="0.2">
      <c r="Y165" s="26"/>
      <c r="AA165" s="25"/>
      <c r="AB165" s="45"/>
      <c r="AG165" s="25"/>
      <c r="AQ165" s="26"/>
      <c r="AU165" s="45"/>
      <c r="AV165" s="25"/>
    </row>
    <row r="166" spans="25:48" ht="15" customHeight="1" x14ac:dyDescent="0.2">
      <c r="Y166" s="26"/>
      <c r="AA166" s="25"/>
      <c r="AB166" s="45"/>
      <c r="AG166" s="25"/>
      <c r="AQ166" s="26"/>
      <c r="AU166" s="45"/>
      <c r="AV166" s="25"/>
    </row>
    <row r="167" spans="25:48" ht="15" customHeight="1" x14ac:dyDescent="0.2">
      <c r="Y167" s="26"/>
      <c r="AA167" s="25"/>
      <c r="AB167" s="45"/>
      <c r="AG167" s="25"/>
      <c r="AQ167" s="26"/>
      <c r="AU167" s="45"/>
      <c r="AV167" s="25"/>
    </row>
    <row r="168" spans="25:48" ht="15" customHeight="1" x14ac:dyDescent="0.2">
      <c r="Y168" s="26"/>
      <c r="AA168" s="25"/>
      <c r="AB168" s="45"/>
      <c r="AG168" s="25"/>
      <c r="AQ168" s="26"/>
      <c r="AU168" s="45"/>
      <c r="AV168" s="25"/>
    </row>
    <row r="169" spans="25:48" ht="15" customHeight="1" x14ac:dyDescent="0.2">
      <c r="Y169" s="26"/>
      <c r="AA169" s="25"/>
      <c r="AB169" s="45"/>
      <c r="AG169" s="25"/>
      <c r="AQ169" s="26"/>
      <c r="AU169" s="45"/>
      <c r="AV169" s="25"/>
    </row>
    <row r="170" spans="25:48" ht="15" customHeight="1" x14ac:dyDescent="0.2">
      <c r="Y170" s="26"/>
      <c r="AA170" s="25"/>
      <c r="AB170" s="45"/>
      <c r="AG170" s="25"/>
      <c r="AQ170" s="26"/>
      <c r="AU170" s="45"/>
      <c r="AV170" s="25"/>
    </row>
    <row r="171" spans="25:48" ht="15" customHeight="1" x14ac:dyDescent="0.2">
      <c r="Y171" s="26"/>
      <c r="AA171" s="25"/>
      <c r="AB171" s="45"/>
      <c r="AG171" s="25"/>
      <c r="AQ171" s="26"/>
      <c r="AU171" s="45"/>
      <c r="AV171" s="25"/>
    </row>
    <row r="172" spans="25:48" ht="15" customHeight="1" x14ac:dyDescent="0.2">
      <c r="Y172" s="26"/>
      <c r="AA172" s="25"/>
      <c r="AB172" s="45"/>
      <c r="AG172" s="25"/>
      <c r="AQ172" s="26"/>
      <c r="AU172" s="45"/>
      <c r="AV172" s="25"/>
    </row>
    <row r="173" spans="25:48" ht="15" customHeight="1" x14ac:dyDescent="0.2">
      <c r="Y173" s="26"/>
      <c r="AA173" s="25"/>
      <c r="AB173" s="45"/>
      <c r="AG173" s="25"/>
      <c r="AQ173" s="26"/>
      <c r="AU173" s="45"/>
      <c r="AV173" s="25"/>
    </row>
    <row r="174" spans="25:48" ht="15" customHeight="1" x14ac:dyDescent="0.2">
      <c r="Y174" s="26"/>
      <c r="AA174" s="25"/>
      <c r="AB174" s="45"/>
      <c r="AG174" s="25"/>
      <c r="AQ174" s="26"/>
      <c r="AU174" s="45"/>
      <c r="AV174" s="25"/>
    </row>
    <row r="175" spans="25:48" ht="15" customHeight="1" x14ac:dyDescent="0.2">
      <c r="Y175" s="26"/>
      <c r="AA175" s="25"/>
      <c r="AB175" s="45"/>
      <c r="AG175" s="25"/>
      <c r="AQ175" s="26"/>
      <c r="AU175" s="45"/>
      <c r="AV175" s="25"/>
    </row>
    <row r="176" spans="25:48" ht="15" customHeight="1" x14ac:dyDescent="0.2">
      <c r="Y176" s="26"/>
      <c r="AA176" s="25"/>
      <c r="AB176" s="45"/>
      <c r="AG176" s="25"/>
      <c r="AQ176" s="26"/>
      <c r="AU176" s="45"/>
      <c r="AV176" s="25"/>
    </row>
    <row r="177" spans="25:48" ht="15" customHeight="1" x14ac:dyDescent="0.2">
      <c r="Y177" s="26"/>
      <c r="AA177" s="25"/>
      <c r="AB177" s="45"/>
      <c r="AG177" s="25"/>
      <c r="AQ177" s="26"/>
      <c r="AU177" s="45"/>
      <c r="AV177" s="25"/>
    </row>
    <row r="178" spans="25:48" ht="15" customHeight="1" x14ac:dyDescent="0.2">
      <c r="Y178" s="26"/>
      <c r="AA178" s="25"/>
      <c r="AB178" s="45"/>
      <c r="AG178" s="25"/>
      <c r="AQ178" s="26"/>
      <c r="AU178" s="45"/>
      <c r="AV178" s="25"/>
    </row>
    <row r="179" spans="25:48" ht="15" customHeight="1" x14ac:dyDescent="0.2">
      <c r="Y179" s="26"/>
      <c r="AA179" s="25"/>
      <c r="AB179" s="45"/>
      <c r="AG179" s="25"/>
      <c r="AQ179" s="26"/>
      <c r="AU179" s="45"/>
      <c r="AV179" s="25"/>
    </row>
    <row r="180" spans="25:48" ht="15" customHeight="1" x14ac:dyDescent="0.2">
      <c r="Y180" s="26"/>
      <c r="AA180" s="25"/>
      <c r="AB180" s="45"/>
      <c r="AG180" s="25"/>
      <c r="AQ180" s="26"/>
      <c r="AU180" s="45"/>
      <c r="AV180" s="25"/>
    </row>
    <row r="181" spans="25:48" ht="15" customHeight="1" x14ac:dyDescent="0.2">
      <c r="Y181" s="26"/>
      <c r="AA181" s="25"/>
      <c r="AB181" s="45"/>
      <c r="AG181" s="25"/>
      <c r="AQ181" s="26"/>
      <c r="AU181" s="45"/>
      <c r="AV181" s="25"/>
    </row>
    <row r="182" spans="25:48" ht="15" customHeight="1" x14ac:dyDescent="0.2">
      <c r="Y182" s="26"/>
      <c r="AA182" s="25"/>
      <c r="AB182" s="45"/>
      <c r="AG182" s="25"/>
      <c r="AQ182" s="26"/>
      <c r="AU182" s="45"/>
      <c r="AV182" s="25"/>
    </row>
    <row r="183" spans="25:48" ht="15" customHeight="1" x14ac:dyDescent="0.2">
      <c r="Y183" s="26"/>
      <c r="AA183" s="25"/>
      <c r="AB183" s="45"/>
      <c r="AG183" s="25"/>
      <c r="AQ183" s="26"/>
      <c r="AU183" s="45"/>
      <c r="AV183" s="25"/>
    </row>
    <row r="184" spans="25:48" ht="15" customHeight="1" x14ac:dyDescent="0.2">
      <c r="Y184" s="26"/>
      <c r="AA184" s="25"/>
      <c r="AB184" s="45"/>
      <c r="AG184" s="25"/>
      <c r="AQ184" s="26"/>
      <c r="AU184" s="45"/>
      <c r="AV184" s="25"/>
    </row>
    <row r="185" spans="25:48" ht="15" customHeight="1" x14ac:dyDescent="0.2">
      <c r="Y185" s="26"/>
      <c r="AA185" s="25"/>
      <c r="AB185" s="45"/>
      <c r="AG185" s="25"/>
      <c r="AQ185" s="26"/>
      <c r="AU185" s="45"/>
      <c r="AV185" s="25"/>
    </row>
    <row r="186" spans="25:48" ht="15" customHeight="1" x14ac:dyDescent="0.2">
      <c r="Y186" s="26"/>
      <c r="AA186" s="25"/>
      <c r="AB186" s="45"/>
      <c r="AG186" s="25"/>
      <c r="AQ186" s="26"/>
      <c r="AU186" s="45"/>
      <c r="AV186" s="25"/>
    </row>
    <row r="187" spans="25:48" ht="15" customHeight="1" x14ac:dyDescent="0.2">
      <c r="Y187" s="26"/>
      <c r="AA187" s="25"/>
      <c r="AB187" s="45"/>
      <c r="AG187" s="25"/>
      <c r="AQ187" s="26"/>
      <c r="AU187" s="45"/>
      <c r="AV187" s="25"/>
    </row>
    <row r="188" spans="25:48" ht="15" customHeight="1" x14ac:dyDescent="0.2">
      <c r="Y188" s="26"/>
      <c r="AA188" s="25"/>
      <c r="AB188" s="45"/>
      <c r="AG188" s="25"/>
      <c r="AQ188" s="26"/>
      <c r="AU188" s="45"/>
      <c r="AV188" s="25"/>
    </row>
    <row r="189" spans="25:48" ht="15" customHeight="1" x14ac:dyDescent="0.2">
      <c r="Y189" s="26"/>
      <c r="AA189" s="25"/>
      <c r="AB189" s="45"/>
      <c r="AG189" s="25"/>
      <c r="AQ189" s="26"/>
      <c r="AU189" s="45"/>
      <c r="AV189" s="25"/>
    </row>
    <row r="190" spans="25:48" ht="15" customHeight="1" x14ac:dyDescent="0.2">
      <c r="Y190" s="26"/>
      <c r="AA190" s="25"/>
      <c r="AB190" s="45"/>
      <c r="AG190" s="25"/>
      <c r="AQ190" s="26"/>
      <c r="AU190" s="45"/>
      <c r="AV190" s="25"/>
    </row>
    <row r="191" spans="25:48" ht="15" customHeight="1" x14ac:dyDescent="0.2">
      <c r="Y191" s="26"/>
      <c r="AA191" s="25"/>
      <c r="AB191" s="45"/>
      <c r="AG191" s="25"/>
      <c r="AQ191" s="26"/>
      <c r="AU191" s="45"/>
      <c r="AV191" s="25"/>
    </row>
    <row r="192" spans="25:48" ht="15" customHeight="1" x14ac:dyDescent="0.2">
      <c r="Y192" s="26"/>
      <c r="AA192" s="25"/>
      <c r="AB192" s="45"/>
      <c r="AG192" s="25"/>
      <c r="AQ192" s="26"/>
      <c r="AU192" s="45"/>
      <c r="AV192" s="25"/>
    </row>
    <row r="193" spans="25:48" ht="15" customHeight="1" x14ac:dyDescent="0.2">
      <c r="Y193" s="26"/>
      <c r="AA193" s="25"/>
      <c r="AB193" s="45"/>
      <c r="AG193" s="25"/>
      <c r="AQ193" s="26"/>
      <c r="AU193" s="45"/>
      <c r="AV193" s="25"/>
    </row>
    <row r="194" spans="25:48" ht="15" customHeight="1" x14ac:dyDescent="0.2">
      <c r="Y194" s="26"/>
      <c r="AA194" s="25"/>
      <c r="AB194" s="45"/>
      <c r="AG194" s="25"/>
      <c r="AQ194" s="26"/>
      <c r="AU194" s="45"/>
      <c r="AV194" s="25"/>
    </row>
    <row r="195" spans="25:48" ht="15" customHeight="1" x14ac:dyDescent="0.2">
      <c r="Y195" s="26"/>
      <c r="AA195" s="25"/>
      <c r="AB195" s="45"/>
      <c r="AG195" s="25"/>
      <c r="AQ195" s="26"/>
      <c r="AU195" s="45"/>
      <c r="AV195" s="25"/>
    </row>
    <row r="196" spans="25:48" ht="15" customHeight="1" x14ac:dyDescent="0.2">
      <c r="Y196" s="26"/>
      <c r="AA196" s="25"/>
      <c r="AB196" s="45"/>
      <c r="AG196" s="25"/>
      <c r="AQ196" s="26"/>
      <c r="AU196" s="45"/>
      <c r="AV196" s="25"/>
    </row>
    <row r="197" spans="25:48" ht="15" customHeight="1" x14ac:dyDescent="0.2">
      <c r="Y197" s="26"/>
      <c r="AA197" s="25"/>
      <c r="AB197" s="45"/>
      <c r="AG197" s="25"/>
      <c r="AQ197" s="26"/>
      <c r="AU197" s="45"/>
      <c r="AV197" s="25"/>
    </row>
    <row r="198" spans="25:48" ht="15" customHeight="1" x14ac:dyDescent="0.2">
      <c r="Y198" s="26"/>
      <c r="AA198" s="25"/>
      <c r="AB198" s="45"/>
      <c r="AG198" s="25"/>
      <c r="AQ198" s="26"/>
      <c r="AU198" s="45"/>
      <c r="AV198" s="25"/>
    </row>
    <row r="199" spans="25:48" ht="15" customHeight="1" x14ac:dyDescent="0.2">
      <c r="Y199" s="26"/>
      <c r="AA199" s="25"/>
      <c r="AB199" s="45"/>
      <c r="AG199" s="25"/>
      <c r="AQ199" s="26"/>
      <c r="AU199" s="45"/>
      <c r="AV199" s="25"/>
    </row>
    <row r="200" spans="25:48" ht="15" customHeight="1" x14ac:dyDescent="0.2">
      <c r="Y200" s="26"/>
      <c r="AA200" s="25"/>
      <c r="AB200" s="45"/>
      <c r="AG200" s="25"/>
      <c r="AQ200" s="26"/>
      <c r="AU200" s="45"/>
      <c r="AV200" s="25"/>
    </row>
    <row r="201" spans="25:48" ht="15" customHeight="1" x14ac:dyDescent="0.2">
      <c r="Y201" s="26"/>
      <c r="AA201" s="25"/>
      <c r="AB201" s="45"/>
      <c r="AG201" s="25"/>
      <c r="AQ201" s="26"/>
      <c r="AU201" s="45"/>
      <c r="AV201" s="25"/>
    </row>
    <row r="202" spans="25:48" ht="15" customHeight="1" x14ac:dyDescent="0.2">
      <c r="Y202" s="26"/>
      <c r="AA202" s="25"/>
      <c r="AB202" s="45"/>
      <c r="AG202" s="25"/>
      <c r="AQ202" s="26"/>
      <c r="AU202" s="45"/>
      <c r="AV202" s="25"/>
    </row>
    <row r="203" spans="25:48" ht="15" customHeight="1" x14ac:dyDescent="0.2">
      <c r="Y203" s="26"/>
      <c r="AA203" s="25"/>
      <c r="AB203" s="45"/>
      <c r="AG203" s="25"/>
      <c r="AQ203" s="26"/>
      <c r="AU203" s="45"/>
      <c r="AV203" s="25"/>
    </row>
    <row r="204" spans="25:48" ht="15" customHeight="1" x14ac:dyDescent="0.2">
      <c r="Y204" s="26"/>
      <c r="AA204" s="25"/>
      <c r="AB204" s="45"/>
      <c r="AG204" s="25"/>
      <c r="AQ204" s="26"/>
      <c r="AU204" s="45"/>
      <c r="AV204" s="25"/>
    </row>
    <row r="205" spans="25:48" ht="15" customHeight="1" x14ac:dyDescent="0.2">
      <c r="Y205" s="26"/>
      <c r="AA205" s="25"/>
      <c r="AB205" s="45"/>
      <c r="AG205" s="25"/>
      <c r="AQ205" s="26"/>
      <c r="AU205" s="45"/>
      <c r="AV205" s="25"/>
    </row>
    <row r="206" spans="25:48" ht="15" customHeight="1" x14ac:dyDescent="0.2">
      <c r="Y206" s="26"/>
      <c r="AA206" s="25"/>
      <c r="AB206" s="45"/>
      <c r="AG206" s="25"/>
      <c r="AQ206" s="26"/>
      <c r="AU206" s="45"/>
      <c r="AV206" s="25"/>
    </row>
    <row r="207" spans="25:48" ht="15" customHeight="1" x14ac:dyDescent="0.2">
      <c r="Y207" s="26"/>
      <c r="AA207" s="25"/>
      <c r="AB207" s="45"/>
      <c r="AG207" s="25"/>
      <c r="AQ207" s="26"/>
      <c r="AU207" s="45"/>
      <c r="AV207" s="25"/>
    </row>
    <row r="208" spans="25:48" ht="15" customHeight="1" x14ac:dyDescent="0.2">
      <c r="Y208" s="26"/>
      <c r="AA208" s="25"/>
      <c r="AB208" s="45"/>
      <c r="AG208" s="25"/>
      <c r="AQ208" s="26"/>
      <c r="AU208" s="45"/>
      <c r="AV208" s="25"/>
    </row>
    <row r="209" spans="25:48" ht="15" customHeight="1" x14ac:dyDescent="0.2">
      <c r="Y209" s="26"/>
      <c r="AA209" s="25"/>
      <c r="AB209" s="45"/>
      <c r="AG209" s="25"/>
      <c r="AQ209" s="26"/>
      <c r="AU209" s="45"/>
      <c r="AV209" s="25"/>
    </row>
    <row r="210" spans="25:48" ht="15" customHeight="1" x14ac:dyDescent="0.2">
      <c r="Y210" s="26"/>
      <c r="AA210" s="25"/>
      <c r="AB210" s="45"/>
      <c r="AG210" s="25"/>
      <c r="AQ210" s="26"/>
      <c r="AU210" s="45"/>
      <c r="AV210" s="25"/>
    </row>
    <row r="211" spans="25:48" ht="15" customHeight="1" x14ac:dyDescent="0.2">
      <c r="Y211" s="26"/>
      <c r="AA211" s="25"/>
      <c r="AB211" s="45"/>
      <c r="AG211" s="25"/>
      <c r="AQ211" s="26"/>
      <c r="AU211" s="45"/>
      <c r="AV211" s="25"/>
    </row>
    <row r="212" spans="25:48" ht="15" customHeight="1" x14ac:dyDescent="0.2">
      <c r="Y212" s="26"/>
      <c r="AA212" s="25"/>
      <c r="AB212" s="45"/>
      <c r="AG212" s="25"/>
      <c r="AQ212" s="26"/>
      <c r="AU212" s="45"/>
      <c r="AV212" s="25"/>
    </row>
    <row r="213" spans="25:48" ht="15" customHeight="1" x14ac:dyDescent="0.2">
      <c r="Y213" s="26"/>
      <c r="AA213" s="25"/>
      <c r="AB213" s="45"/>
      <c r="AG213" s="25"/>
      <c r="AQ213" s="26"/>
      <c r="AU213" s="45"/>
      <c r="AV213" s="25"/>
    </row>
    <row r="214" spans="25:48" ht="15" customHeight="1" x14ac:dyDescent="0.2">
      <c r="Y214" s="26"/>
      <c r="AA214" s="25"/>
      <c r="AB214" s="45"/>
      <c r="AG214" s="25"/>
      <c r="AQ214" s="26"/>
      <c r="AU214" s="45"/>
      <c r="AV214" s="25"/>
    </row>
    <row r="215" spans="25:48" ht="15" customHeight="1" x14ac:dyDescent="0.2">
      <c r="Y215" s="26"/>
      <c r="AA215" s="25"/>
      <c r="AB215" s="45"/>
      <c r="AG215" s="25"/>
      <c r="AQ215" s="26"/>
      <c r="AU215" s="45"/>
      <c r="AV215" s="25"/>
    </row>
    <row r="216" spans="25:48" ht="15" customHeight="1" x14ac:dyDescent="0.2">
      <c r="Y216" s="26"/>
      <c r="AA216" s="25"/>
      <c r="AB216" s="45"/>
      <c r="AG216" s="25"/>
      <c r="AQ216" s="26"/>
      <c r="AU216" s="45"/>
      <c r="AV216" s="25"/>
    </row>
    <row r="217" spans="25:48" ht="15" customHeight="1" x14ac:dyDescent="0.2">
      <c r="Y217" s="26"/>
      <c r="AA217" s="25"/>
      <c r="AB217" s="45"/>
      <c r="AG217" s="25"/>
      <c r="AQ217" s="26"/>
      <c r="AU217" s="45"/>
      <c r="AV217" s="25"/>
    </row>
    <row r="218" spans="25:48" ht="15" customHeight="1" x14ac:dyDescent="0.2">
      <c r="Y218" s="26"/>
      <c r="AA218" s="25"/>
      <c r="AB218" s="45"/>
      <c r="AG218" s="25"/>
      <c r="AQ218" s="26"/>
      <c r="AU218" s="45"/>
      <c r="AV218" s="25"/>
    </row>
    <row r="219" spans="25:48" ht="15" customHeight="1" x14ac:dyDescent="0.2">
      <c r="Y219" s="26"/>
      <c r="AA219" s="25"/>
      <c r="AB219" s="45"/>
      <c r="AG219" s="25"/>
      <c r="AQ219" s="26"/>
      <c r="AU219" s="45"/>
      <c r="AV219" s="25"/>
    </row>
    <row r="220" spans="25:48" ht="15" customHeight="1" x14ac:dyDescent="0.2">
      <c r="Y220" s="26"/>
      <c r="AA220" s="25"/>
      <c r="AB220" s="45"/>
      <c r="AG220" s="25"/>
      <c r="AQ220" s="26"/>
      <c r="AU220" s="45"/>
      <c r="AV220" s="25"/>
    </row>
    <row r="221" spans="25:48" ht="15" customHeight="1" x14ac:dyDescent="0.2">
      <c r="Y221" s="26"/>
      <c r="AA221" s="25"/>
      <c r="AB221" s="45"/>
      <c r="AG221" s="25"/>
      <c r="AQ221" s="26"/>
      <c r="AU221" s="45"/>
      <c r="AV221" s="25"/>
    </row>
    <row r="222" spans="25:48" ht="15" customHeight="1" x14ac:dyDescent="0.2">
      <c r="Y222" s="26"/>
      <c r="AA222" s="25"/>
      <c r="AB222" s="45"/>
      <c r="AG222" s="25"/>
      <c r="AQ222" s="26"/>
      <c r="AU222" s="45"/>
      <c r="AV222" s="25"/>
    </row>
    <row r="223" spans="25:48" ht="15" customHeight="1" x14ac:dyDescent="0.2">
      <c r="Y223" s="26"/>
      <c r="AA223" s="25"/>
      <c r="AB223" s="45"/>
      <c r="AG223" s="25"/>
      <c r="AQ223" s="26"/>
      <c r="AU223" s="45"/>
      <c r="AV223" s="25"/>
    </row>
    <row r="224" spans="25:48" ht="15" customHeight="1" x14ac:dyDescent="0.2">
      <c r="Y224" s="26"/>
      <c r="AA224" s="25"/>
      <c r="AB224" s="45"/>
      <c r="AG224" s="25"/>
      <c r="AQ224" s="26"/>
      <c r="AU224" s="45"/>
      <c r="AV224" s="25"/>
    </row>
    <row r="225" spans="25:48" ht="15" customHeight="1" x14ac:dyDescent="0.2">
      <c r="Y225" s="26"/>
      <c r="AA225" s="25"/>
      <c r="AB225" s="45"/>
      <c r="AG225" s="25"/>
      <c r="AQ225" s="26"/>
      <c r="AU225" s="45"/>
      <c r="AV225" s="25"/>
    </row>
    <row r="226" spans="25:48" ht="15" customHeight="1" x14ac:dyDescent="0.2">
      <c r="Y226" s="26"/>
      <c r="AA226" s="25"/>
      <c r="AB226" s="45"/>
      <c r="AG226" s="25"/>
      <c r="AQ226" s="26"/>
      <c r="AU226" s="45"/>
      <c r="AV226" s="25"/>
    </row>
    <row r="227" spans="25:48" ht="15" customHeight="1" x14ac:dyDescent="0.2">
      <c r="Y227" s="26"/>
      <c r="AA227" s="25"/>
      <c r="AB227" s="45"/>
      <c r="AG227" s="25"/>
      <c r="AQ227" s="26"/>
      <c r="AU227" s="45"/>
      <c r="AV227" s="25"/>
    </row>
    <row r="228" spans="25:48" ht="15" customHeight="1" x14ac:dyDescent="0.2">
      <c r="Y228" s="26"/>
      <c r="AA228" s="25"/>
      <c r="AB228" s="45"/>
      <c r="AG228" s="25"/>
      <c r="AQ228" s="26"/>
      <c r="AU228" s="45"/>
      <c r="AV228" s="25"/>
    </row>
    <row r="229" spans="25:48" ht="15" customHeight="1" x14ac:dyDescent="0.2">
      <c r="Y229" s="26"/>
      <c r="AA229" s="25"/>
      <c r="AB229" s="45"/>
      <c r="AG229" s="25"/>
      <c r="AQ229" s="26"/>
      <c r="AU229" s="45"/>
      <c r="AV229" s="25"/>
    </row>
    <row r="230" spans="25:48" ht="15" customHeight="1" x14ac:dyDescent="0.2">
      <c r="Y230" s="26"/>
      <c r="AA230" s="25"/>
      <c r="AB230" s="45"/>
      <c r="AG230" s="25"/>
      <c r="AQ230" s="26"/>
      <c r="AU230" s="45"/>
      <c r="AV230" s="25"/>
    </row>
    <row r="231" spans="25:48" ht="15" customHeight="1" x14ac:dyDescent="0.2">
      <c r="Y231" s="26"/>
      <c r="AA231" s="25"/>
      <c r="AB231" s="45"/>
      <c r="AG231" s="25"/>
      <c r="AQ231" s="26"/>
      <c r="AU231" s="45"/>
      <c r="AV231" s="25"/>
    </row>
    <row r="232" spans="25:48" ht="15" customHeight="1" x14ac:dyDescent="0.2">
      <c r="Y232" s="26"/>
      <c r="AA232" s="25"/>
      <c r="AB232" s="45"/>
      <c r="AG232" s="25"/>
      <c r="AQ232" s="26"/>
      <c r="AU232" s="45"/>
      <c r="AV232" s="25"/>
    </row>
    <row r="233" spans="25:48" ht="15" customHeight="1" x14ac:dyDescent="0.2">
      <c r="Y233" s="26"/>
      <c r="AA233" s="25"/>
      <c r="AB233" s="45"/>
      <c r="AG233" s="25"/>
      <c r="AQ233" s="26"/>
      <c r="AU233" s="45"/>
      <c r="AV233" s="25"/>
    </row>
    <row r="234" spans="25:48" ht="15" customHeight="1" x14ac:dyDescent="0.2">
      <c r="Y234" s="26"/>
      <c r="AA234" s="25"/>
      <c r="AB234" s="45"/>
      <c r="AG234" s="25"/>
      <c r="AQ234" s="26"/>
      <c r="AU234" s="45"/>
      <c r="AV234" s="25"/>
    </row>
    <row r="235" spans="25:48" ht="15" customHeight="1" x14ac:dyDescent="0.2">
      <c r="Y235" s="26"/>
      <c r="AA235" s="25"/>
      <c r="AB235" s="45"/>
      <c r="AG235" s="25"/>
      <c r="AQ235" s="26"/>
      <c r="AU235" s="45"/>
      <c r="AV235" s="25"/>
    </row>
    <row r="236" spans="25:48" ht="15" customHeight="1" x14ac:dyDescent="0.2">
      <c r="Y236" s="26"/>
      <c r="AA236" s="25"/>
      <c r="AB236" s="45"/>
      <c r="AG236" s="25"/>
      <c r="AQ236" s="26"/>
      <c r="AU236" s="45"/>
      <c r="AV236" s="25"/>
    </row>
    <row r="237" spans="25:48" ht="15" customHeight="1" x14ac:dyDescent="0.2">
      <c r="Y237" s="26"/>
      <c r="AA237" s="25"/>
      <c r="AB237" s="45"/>
      <c r="AG237" s="25"/>
      <c r="AQ237" s="26"/>
      <c r="AU237" s="45"/>
      <c r="AV237" s="25"/>
    </row>
    <row r="238" spans="25:48" ht="15" customHeight="1" x14ac:dyDescent="0.2">
      <c r="Y238" s="26"/>
      <c r="AA238" s="25"/>
      <c r="AB238" s="45"/>
      <c r="AG238" s="25"/>
      <c r="AQ238" s="26"/>
      <c r="AU238" s="45"/>
      <c r="AV238" s="25"/>
    </row>
    <row r="239" spans="25:48" ht="15" customHeight="1" x14ac:dyDescent="0.2">
      <c r="Y239" s="26"/>
      <c r="AA239" s="25"/>
      <c r="AB239" s="45"/>
      <c r="AG239" s="25"/>
      <c r="AQ239" s="26"/>
      <c r="AU239" s="45"/>
      <c r="AV239" s="25"/>
    </row>
    <row r="240" spans="25:48" ht="15" customHeight="1" x14ac:dyDescent="0.2">
      <c r="Y240" s="26"/>
      <c r="AA240" s="25"/>
      <c r="AB240" s="45"/>
      <c r="AG240" s="25"/>
      <c r="AQ240" s="26"/>
      <c r="AU240" s="45"/>
      <c r="AV240" s="25"/>
    </row>
    <row r="241" spans="25:48" ht="15" customHeight="1" x14ac:dyDescent="0.2">
      <c r="Y241" s="26"/>
      <c r="AA241" s="25"/>
      <c r="AB241" s="45"/>
      <c r="AG241" s="25"/>
      <c r="AQ241" s="26"/>
      <c r="AU241" s="45"/>
      <c r="AV241" s="25"/>
    </row>
    <row r="242" spans="25:48" ht="15" customHeight="1" x14ac:dyDescent="0.2">
      <c r="Y242" s="26"/>
      <c r="AA242" s="25"/>
      <c r="AB242" s="45"/>
      <c r="AG242" s="25"/>
      <c r="AQ242" s="26"/>
      <c r="AU242" s="45"/>
      <c r="AV242" s="25"/>
    </row>
    <row r="243" spans="25:48" ht="15" customHeight="1" x14ac:dyDescent="0.2">
      <c r="Y243" s="26"/>
      <c r="AA243" s="25"/>
      <c r="AB243" s="45"/>
      <c r="AG243" s="25"/>
      <c r="AQ243" s="26"/>
      <c r="AU243" s="45"/>
      <c r="AV243" s="25"/>
    </row>
    <row r="244" spans="25:48" ht="15" customHeight="1" x14ac:dyDescent="0.2">
      <c r="Y244" s="26"/>
      <c r="AA244" s="25"/>
      <c r="AB244" s="45"/>
      <c r="AG244" s="25"/>
      <c r="AQ244" s="26"/>
      <c r="AU244" s="45"/>
      <c r="AV244" s="25"/>
    </row>
    <row r="245" spans="25:48" ht="15" customHeight="1" x14ac:dyDescent="0.2">
      <c r="Y245" s="26"/>
      <c r="AA245" s="25"/>
      <c r="AB245" s="45"/>
      <c r="AG245" s="25"/>
      <c r="AQ245" s="26"/>
      <c r="AU245" s="45"/>
      <c r="AV245" s="25"/>
    </row>
    <row r="246" spans="25:48" ht="15" customHeight="1" x14ac:dyDescent="0.2">
      <c r="Y246" s="26"/>
      <c r="AA246" s="25"/>
      <c r="AB246" s="45"/>
      <c r="AG246" s="25"/>
      <c r="AQ246" s="26"/>
      <c r="AU246" s="45"/>
      <c r="AV246" s="25"/>
    </row>
    <row r="247" spans="25:48" ht="15" customHeight="1" x14ac:dyDescent="0.2">
      <c r="Y247" s="26"/>
      <c r="AA247" s="25"/>
      <c r="AB247" s="45"/>
      <c r="AG247" s="25"/>
      <c r="AQ247" s="26"/>
      <c r="AU247" s="45"/>
      <c r="AV247" s="25"/>
    </row>
    <row r="248" spans="25:48" ht="15" customHeight="1" x14ac:dyDescent="0.2">
      <c r="Y248" s="26"/>
      <c r="AA248" s="25"/>
      <c r="AB248" s="45"/>
      <c r="AG248" s="25"/>
      <c r="AQ248" s="26"/>
      <c r="AU248" s="45"/>
      <c r="AV248" s="25"/>
    </row>
    <row r="249" spans="25:48" ht="15" customHeight="1" x14ac:dyDescent="0.2">
      <c r="Y249" s="26"/>
      <c r="AA249" s="25"/>
      <c r="AB249" s="45"/>
      <c r="AG249" s="25"/>
      <c r="AQ249" s="26"/>
      <c r="AU249" s="45"/>
      <c r="AV249" s="25"/>
    </row>
    <row r="250" spans="25:48" ht="15" customHeight="1" x14ac:dyDescent="0.2">
      <c r="Y250" s="26"/>
      <c r="AA250" s="25"/>
      <c r="AB250" s="45"/>
      <c r="AG250" s="25"/>
      <c r="AQ250" s="26"/>
      <c r="AU250" s="45"/>
      <c r="AV250" s="25"/>
    </row>
    <row r="251" spans="25:48" ht="15" customHeight="1" x14ac:dyDescent="0.2">
      <c r="Y251" s="26"/>
      <c r="AA251" s="25"/>
      <c r="AB251" s="45"/>
      <c r="AG251" s="25"/>
      <c r="AQ251" s="26"/>
      <c r="AU251" s="45"/>
      <c r="AV251" s="25"/>
    </row>
    <row r="252" spans="25:48" ht="15" customHeight="1" x14ac:dyDescent="0.2">
      <c r="Y252" s="26"/>
      <c r="AA252" s="25"/>
      <c r="AB252" s="45"/>
      <c r="AG252" s="25"/>
      <c r="AQ252" s="26"/>
      <c r="AU252" s="45"/>
      <c r="AV252" s="25"/>
    </row>
    <row r="253" spans="25:48" ht="15" customHeight="1" x14ac:dyDescent="0.2">
      <c r="Y253" s="26"/>
      <c r="AA253" s="25"/>
      <c r="AB253" s="45"/>
      <c r="AG253" s="25"/>
      <c r="AQ253" s="26"/>
      <c r="AU253" s="45"/>
      <c r="AV253" s="25"/>
    </row>
    <row r="254" spans="25:48" ht="15" customHeight="1" x14ac:dyDescent="0.2">
      <c r="Y254" s="26"/>
      <c r="AA254" s="25"/>
      <c r="AB254" s="45"/>
      <c r="AG254" s="25"/>
      <c r="AQ254" s="26"/>
      <c r="AU254" s="45"/>
      <c r="AV254" s="25"/>
    </row>
    <row r="255" spans="25:48" ht="15" customHeight="1" x14ac:dyDescent="0.2">
      <c r="Y255" s="26"/>
      <c r="AA255" s="25"/>
      <c r="AB255" s="45"/>
      <c r="AG255" s="25"/>
      <c r="AQ255" s="26"/>
      <c r="AU255" s="45"/>
      <c r="AV255" s="25"/>
    </row>
    <row r="256" spans="25:48" ht="15" customHeight="1" x14ac:dyDescent="0.2">
      <c r="Y256" s="26"/>
      <c r="AA256" s="25"/>
      <c r="AB256" s="45"/>
      <c r="AG256" s="25"/>
      <c r="AQ256" s="26"/>
      <c r="AU256" s="45"/>
      <c r="AV256" s="25"/>
    </row>
    <row r="257" spans="25:48" ht="15" customHeight="1" x14ac:dyDescent="0.2">
      <c r="Y257" s="26"/>
      <c r="AA257" s="25"/>
      <c r="AB257" s="45"/>
      <c r="AG257" s="25"/>
      <c r="AQ257" s="26"/>
      <c r="AU257" s="45"/>
      <c r="AV257" s="25"/>
    </row>
    <row r="258" spans="25:48" ht="15" customHeight="1" x14ac:dyDescent="0.2">
      <c r="Y258" s="26"/>
      <c r="AA258" s="25"/>
      <c r="AB258" s="45"/>
      <c r="AG258" s="25"/>
      <c r="AQ258" s="26"/>
      <c r="AU258" s="45"/>
      <c r="AV258" s="25"/>
    </row>
    <row r="259" spans="25:48" ht="15" customHeight="1" x14ac:dyDescent="0.2">
      <c r="Y259" s="26"/>
      <c r="AA259" s="25"/>
      <c r="AB259" s="45"/>
      <c r="AG259" s="25"/>
      <c r="AQ259" s="26"/>
      <c r="AU259" s="45"/>
      <c r="AV259" s="25"/>
    </row>
    <row r="260" spans="25:48" ht="15" customHeight="1" x14ac:dyDescent="0.2">
      <c r="Y260" s="26"/>
      <c r="AA260" s="25"/>
      <c r="AB260" s="45"/>
      <c r="AG260" s="25"/>
      <c r="AQ260" s="26"/>
      <c r="AU260" s="45"/>
      <c r="AV260" s="25"/>
    </row>
    <row r="261" spans="25:48" ht="15" customHeight="1" x14ac:dyDescent="0.2">
      <c r="Y261" s="26"/>
      <c r="AA261" s="25"/>
      <c r="AB261" s="45"/>
      <c r="AG261" s="25"/>
      <c r="AQ261" s="26"/>
      <c r="AU261" s="45"/>
      <c r="AV261" s="25"/>
    </row>
    <row r="262" spans="25:48" ht="15" customHeight="1" x14ac:dyDescent="0.2">
      <c r="Y262" s="26"/>
      <c r="AA262" s="25"/>
      <c r="AB262" s="45"/>
      <c r="AG262" s="25"/>
      <c r="AQ262" s="26"/>
      <c r="AU262" s="45"/>
      <c r="AV262" s="25"/>
    </row>
    <row r="263" spans="25:48" ht="15" customHeight="1" x14ac:dyDescent="0.2">
      <c r="Y263" s="26"/>
      <c r="AA263" s="25"/>
      <c r="AB263" s="45"/>
      <c r="AG263" s="25"/>
      <c r="AQ263" s="26"/>
      <c r="AU263" s="45"/>
      <c r="AV263" s="25"/>
    </row>
    <row r="264" spans="25:48" ht="15" customHeight="1" x14ac:dyDescent="0.2">
      <c r="Y264" s="26"/>
      <c r="AA264" s="25"/>
      <c r="AB264" s="45"/>
      <c r="AG264" s="25"/>
      <c r="AQ264" s="26"/>
      <c r="AU264" s="45"/>
      <c r="AV264" s="25"/>
    </row>
    <row r="265" spans="25:48" ht="15" customHeight="1" x14ac:dyDescent="0.2">
      <c r="Y265" s="26"/>
      <c r="AA265" s="25"/>
      <c r="AB265" s="45"/>
      <c r="AG265" s="25"/>
      <c r="AQ265" s="26"/>
      <c r="AU265" s="45"/>
      <c r="AV265" s="25"/>
    </row>
    <row r="266" spans="25:48" ht="15" customHeight="1" x14ac:dyDescent="0.2">
      <c r="Y266" s="26"/>
      <c r="AA266" s="25"/>
      <c r="AB266" s="45"/>
      <c r="AG266" s="25"/>
      <c r="AQ266" s="26"/>
      <c r="AU266" s="45"/>
      <c r="AV266" s="25"/>
    </row>
    <row r="267" spans="25:48" ht="15" customHeight="1" x14ac:dyDescent="0.2">
      <c r="Y267" s="26"/>
      <c r="AA267" s="25"/>
      <c r="AB267" s="45"/>
      <c r="AG267" s="25"/>
      <c r="AQ267" s="26"/>
      <c r="AU267" s="45"/>
      <c r="AV267" s="25"/>
    </row>
    <row r="268" spans="25:48" ht="15" customHeight="1" x14ac:dyDescent="0.2">
      <c r="Y268" s="26"/>
      <c r="AA268" s="25"/>
      <c r="AB268" s="45"/>
      <c r="AG268" s="25"/>
      <c r="AQ268" s="26"/>
      <c r="AU268" s="45"/>
      <c r="AV268" s="25"/>
    </row>
    <row r="269" spans="25:48" ht="15" customHeight="1" x14ac:dyDescent="0.2">
      <c r="Y269" s="26"/>
      <c r="AA269" s="25"/>
      <c r="AB269" s="45"/>
      <c r="AG269" s="25"/>
      <c r="AQ269" s="26"/>
      <c r="AU269" s="45"/>
      <c r="AV269" s="25"/>
    </row>
    <row r="270" spans="25:48" ht="15" customHeight="1" x14ac:dyDescent="0.2">
      <c r="Y270" s="26"/>
      <c r="AA270" s="25"/>
      <c r="AB270" s="45"/>
      <c r="AG270" s="25"/>
      <c r="AQ270" s="26"/>
      <c r="AU270" s="45"/>
      <c r="AV270" s="25"/>
    </row>
    <row r="271" spans="25:48" ht="15" customHeight="1" x14ac:dyDescent="0.2">
      <c r="Y271" s="26"/>
      <c r="AA271" s="25"/>
      <c r="AB271" s="45"/>
      <c r="AG271" s="25"/>
      <c r="AQ271" s="26"/>
      <c r="AU271" s="45"/>
      <c r="AV271" s="25"/>
    </row>
    <row r="272" spans="25:48" ht="15" customHeight="1" x14ac:dyDescent="0.2">
      <c r="Y272" s="26"/>
      <c r="AA272" s="25"/>
      <c r="AB272" s="45"/>
      <c r="AG272" s="25"/>
      <c r="AQ272" s="26"/>
      <c r="AU272" s="45"/>
      <c r="AV272" s="25"/>
    </row>
    <row r="273" spans="25:48" ht="15" customHeight="1" x14ac:dyDescent="0.2">
      <c r="Y273" s="26"/>
      <c r="AA273" s="25"/>
      <c r="AB273" s="45"/>
      <c r="AG273" s="25"/>
      <c r="AQ273" s="26"/>
      <c r="AU273" s="45"/>
      <c r="AV273" s="25"/>
    </row>
    <row r="274" spans="25:48" ht="15" customHeight="1" x14ac:dyDescent="0.2">
      <c r="Y274" s="26"/>
      <c r="AA274" s="25"/>
      <c r="AB274" s="45"/>
      <c r="AG274" s="25"/>
      <c r="AQ274" s="26"/>
      <c r="AU274" s="45"/>
      <c r="AV274" s="25"/>
    </row>
    <row r="275" spans="25:48" ht="15" customHeight="1" x14ac:dyDescent="0.2">
      <c r="Y275" s="26"/>
      <c r="AA275" s="25"/>
      <c r="AB275" s="45"/>
      <c r="AG275" s="25"/>
      <c r="AQ275" s="26"/>
      <c r="AU275" s="45"/>
      <c r="AV275" s="25"/>
    </row>
    <row r="276" spans="25:48" ht="15" customHeight="1" x14ac:dyDescent="0.2">
      <c r="Y276" s="26"/>
      <c r="AA276" s="25"/>
      <c r="AB276" s="45"/>
      <c r="AG276" s="25"/>
      <c r="AQ276" s="26"/>
      <c r="AU276" s="45"/>
      <c r="AV276" s="25"/>
    </row>
  </sheetData>
  <mergeCells count="1">
    <mergeCell ref="L2:N2"/>
  </mergeCells>
  <conditionalFormatting sqref="P1:P1048576">
    <cfRule type="expression" dxfId="70" priority="4">
      <formula>$P$2&lt;&gt;""</formula>
    </cfRule>
  </conditionalFormatting>
  <conditionalFormatting sqref="K1:K1048576">
    <cfRule type="expression" dxfId="69" priority="5">
      <formula>$K$2&lt;&gt;""</formula>
    </cfRule>
  </conditionalFormatting>
  <conditionalFormatting sqref="K4:K9">
    <cfRule type="expression" dxfId="68" priority="2">
      <formula>$L4="New"</formula>
    </cfRule>
    <cfRule type="expression" dxfId="67" priority="3">
      <formula>$L4="Defective"</formula>
    </cfRule>
  </conditionalFormatting>
  <conditionalFormatting sqref="U1:U1048576">
    <cfRule type="expression" dxfId="66" priority="1">
      <formula>$U$2&lt;&gt;""</formula>
    </cfRule>
  </conditionalFormatting>
  <conditionalFormatting sqref="A4:U5 W4:W9 A6:V9">
    <cfRule type="expression" dxfId="65" priority="6">
      <formula>$L4="Rejected"</formula>
    </cfRule>
    <cfRule type="expression" dxfId="64" priority="7">
      <formula>$G4=5</formula>
    </cfRule>
    <cfRule type="expression" dxfId="63" priority="8">
      <formula>OR($G4=4,$G4=8,$G4=52)</formula>
    </cfRule>
  </conditionalFormatting>
  <conditionalFormatting sqref="V5">
    <cfRule type="expression" dxfId="62" priority="71">
      <formula>$L4="Rejected"</formula>
    </cfRule>
    <cfRule type="expression" dxfId="61" priority="72">
      <formula>$G4=5</formula>
    </cfRule>
    <cfRule type="expression" dxfId="60" priority="73">
      <formula>OR($G4=4,$G4=8,$G4=52)</formula>
    </cfRule>
  </conditionalFormatting>
  <dataValidations count="4">
    <dataValidation type="list" allowBlank="1" showInputMessage="1" showErrorMessage="1" sqref="Q4:Q9">
      <formula1>LL_Table_Field</formula1>
    </dataValidation>
    <dataValidation type="list" allowBlank="1" showInputMessage="1" showErrorMessage="1" sqref="H4:H9">
      <formula1>LL_Element_Types</formula1>
    </dataValidation>
    <dataValidation type="list" allowBlank="1" showInputMessage="1" showErrorMessage="1" sqref="G4:G9">
      <formula1>LL_EAObject_TypeIDs</formula1>
    </dataValidation>
    <dataValidation type="list" allowBlank="1" showErrorMessage="1" sqref="L4:L9">
      <formula1>LL_Status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9"/>
  <sheetViews>
    <sheetView topLeftCell="R1" zoomScaleNormal="100" workbookViewId="0">
      <selection activeCell="W7" sqref="W7"/>
    </sheetView>
  </sheetViews>
  <sheetFormatPr defaultColWidth="8.88671875" defaultRowHeight="15" customHeight="1" outlineLevelCol="1" x14ac:dyDescent="0.2"/>
  <cols>
    <col min="1" max="1" width="14.6640625" style="44" hidden="1" customWidth="1" outlineLevel="1"/>
    <col min="2" max="2" width="8.88671875" style="27" hidden="1" customWidth="1" outlineLevel="1"/>
    <col min="3" max="3" width="7.6640625" style="27" hidden="1" customWidth="1" outlineLevel="1"/>
    <col min="4" max="4" width="8.6640625" style="27" hidden="1" customWidth="1" outlineLevel="1"/>
    <col min="5" max="5" width="5.44140625" style="27" hidden="1" customWidth="1" outlineLevel="1"/>
    <col min="6" max="6" width="5" style="12" hidden="1" customWidth="1" outlineLevel="1"/>
    <col min="7" max="7" width="9.44140625" style="47" hidden="1" customWidth="1" outlineLevel="1"/>
    <col min="8" max="8" width="10.88671875" style="28" hidden="1" customWidth="1" outlineLevel="1"/>
    <col min="9" max="9" width="10.33203125" style="28" hidden="1" customWidth="1" outlineLevel="1"/>
    <col min="10" max="10" width="35.109375" style="46" hidden="1" customWidth="1" outlineLevel="1"/>
    <col min="11" max="11" width="3.88671875" bestFit="1" customWidth="1" collapsed="1"/>
    <col min="12" max="12" width="7.6640625" style="23" hidden="1" customWidth="1" outlineLevel="1"/>
    <col min="13" max="13" width="10.44140625" hidden="1" customWidth="1" outlineLevel="1"/>
    <col min="14" max="14" width="11" style="32" hidden="1" customWidth="1" outlineLevel="1"/>
    <col min="15" max="15" width="12.5546875" style="32" hidden="1" customWidth="1" outlineLevel="1"/>
    <col min="16" max="16" width="3.33203125" style="10" bestFit="1" customWidth="1" collapsed="1"/>
    <col min="17" max="17" width="9.6640625" bestFit="1" customWidth="1"/>
    <col min="18" max="18" width="37" bestFit="1" customWidth="1"/>
    <col min="19" max="19" width="20.5546875" bestFit="1" customWidth="1" outlineLevel="1"/>
    <col min="20" max="20" width="14.6640625" style="68" bestFit="1" customWidth="1" outlineLevel="1"/>
    <col min="21" max="21" width="4" style="68" bestFit="1" customWidth="1"/>
    <col min="22" max="22" width="24.44140625" style="6" customWidth="1"/>
    <col min="23" max="23" width="26.5546875" style="6" customWidth="1"/>
    <col min="24" max="24" width="13.5546875" style="9" customWidth="1"/>
    <col min="25" max="25" width="3.33203125" style="9" bestFit="1" customWidth="1"/>
    <col min="26" max="26" width="9.88671875" style="7" customWidth="1"/>
    <col min="27" max="27" width="10.44140625" style="7" bestFit="1" customWidth="1"/>
    <col min="28" max="28" width="11" style="9" bestFit="1" customWidth="1"/>
    <col min="29" max="29" width="15.44140625" style="6" customWidth="1"/>
    <col min="30" max="30" width="4.21875" style="6" bestFit="1" customWidth="1"/>
    <col min="31" max="31" width="13.6640625" style="6" customWidth="1"/>
    <col min="32" max="32" width="7.88671875" style="6" bestFit="1" customWidth="1"/>
    <col min="33" max="33" width="13.33203125" style="6" bestFit="1" customWidth="1"/>
    <col min="34" max="34" width="7.88671875" style="9" bestFit="1" customWidth="1"/>
    <col min="35" max="35" width="13.33203125" style="9" bestFit="1" customWidth="1"/>
    <col min="36" max="36" width="10.109375" style="9" bestFit="1" customWidth="1"/>
    <col min="37" max="37" width="7.88671875" style="9" bestFit="1" customWidth="1"/>
    <col min="38" max="38" width="13.33203125" style="9" bestFit="1" customWidth="1"/>
    <col min="39" max="39" width="23.88671875" style="9" customWidth="1"/>
    <col min="40" max="40" width="15.6640625" style="9" customWidth="1"/>
    <col min="41" max="41" width="16" style="9" customWidth="1"/>
    <col min="42" max="42" width="18" style="9" customWidth="1"/>
    <col min="43" max="43" width="4.21875" style="9" bestFit="1" customWidth="1"/>
    <col min="44" max="44" width="18.6640625" style="7" customWidth="1"/>
    <col min="45" max="45" width="17.77734375" style="7" customWidth="1"/>
    <col min="46" max="46" width="18.33203125" style="7" customWidth="1"/>
    <col min="47" max="47" width="4.5546875" style="7" customWidth="1"/>
    <col min="48" max="48" width="5.6640625" style="6" customWidth="1"/>
    <col min="49" max="49" width="20.77734375" style="9" customWidth="1"/>
    <col min="50" max="50" width="18.6640625" style="9" customWidth="1"/>
    <col min="51" max="51" width="24.21875" style="9" customWidth="1"/>
    <col min="52" max="52" width="5.6640625" style="9" customWidth="1"/>
    <col min="53" max="53" width="10" style="9" customWidth="1"/>
    <col min="54" max="54" width="3.88671875" style="9" customWidth="1"/>
    <col min="55" max="55" width="11.5546875" style="9" customWidth="1"/>
    <col min="56" max="56" width="24.5546875" style="9" customWidth="1"/>
    <col min="57" max="57" width="24.21875" style="9" customWidth="1"/>
    <col min="58" max="58" width="5.6640625" style="9" customWidth="1"/>
    <col min="59" max="59" width="18.6640625" style="9" customWidth="1"/>
    <col min="60" max="60" width="17.77734375" style="9" customWidth="1"/>
    <col min="61" max="61" width="18.33203125" style="9" customWidth="1"/>
    <col min="62" max="62" width="17.44140625" style="9" customWidth="1"/>
    <col min="63" max="63" width="5.6640625" style="9" customWidth="1"/>
    <col min="64" max="64" width="20.77734375" style="9" customWidth="1"/>
    <col min="65" max="65" width="18.6640625" style="9" customWidth="1"/>
    <col min="66" max="66" width="24.21875" style="9" customWidth="1"/>
    <col min="67" max="67" width="8.88671875" style="9"/>
    <col min="68" max="68" width="21.109375" style="9" customWidth="1"/>
    <col min="69" max="69" width="24.44140625" style="9" bestFit="1" customWidth="1"/>
    <col min="70" max="70" width="10.77734375" style="9" customWidth="1"/>
    <col min="71" max="71" width="22.88671875" style="9" customWidth="1"/>
    <col min="72" max="72" width="22.44140625" style="9" bestFit="1" customWidth="1"/>
    <col min="73" max="76" width="8.88671875" style="9"/>
    <col min="77" max="77" width="15.88671875" style="9" customWidth="1"/>
    <col min="78" max="78" width="18.109375" style="9" customWidth="1"/>
    <col min="79" max="79" width="22.88671875" style="9" customWidth="1"/>
    <col min="80" max="80" width="22.44140625" style="9" bestFit="1" customWidth="1"/>
    <col min="81" max="82" width="8.88671875" style="9"/>
    <col min="83" max="83" width="4.88671875" style="9" bestFit="1" customWidth="1"/>
    <col min="84" max="84" width="3.77734375" style="9" bestFit="1" customWidth="1"/>
    <col min="85" max="85" width="22.88671875" style="9" bestFit="1" customWidth="1"/>
    <col min="86" max="86" width="22.44140625" style="9" bestFit="1" customWidth="1"/>
    <col min="87" max="87" width="14.44140625" style="9" bestFit="1" customWidth="1"/>
    <col min="88" max="88" width="52.5546875" style="9" bestFit="1" customWidth="1"/>
    <col min="89" max="89" width="16.44140625" style="9" bestFit="1" customWidth="1"/>
    <col min="90" max="90" width="80.88671875" style="9" bestFit="1" customWidth="1"/>
    <col min="91" max="91" width="14.109375" style="9" bestFit="1" customWidth="1"/>
    <col min="92" max="92" width="65" style="9" bestFit="1" customWidth="1"/>
    <col min="93" max="93" width="80.88671875" style="9" bestFit="1" customWidth="1"/>
    <col min="94" max="94" width="42.5546875" style="9" bestFit="1" customWidth="1"/>
    <col min="95" max="95" width="35.88671875" style="9" bestFit="1" customWidth="1"/>
    <col min="96" max="16384" width="8.88671875" style="9"/>
  </cols>
  <sheetData>
    <row r="1" spans="1:48" s="56" customFormat="1" ht="15" customHeight="1" x14ac:dyDescent="0.2">
      <c r="A1" s="57" t="s">
        <v>14</v>
      </c>
      <c r="B1" s="58" t="s">
        <v>15</v>
      </c>
      <c r="C1" s="59" t="s">
        <v>16</v>
      </c>
      <c r="D1" s="59" t="s">
        <v>19</v>
      </c>
      <c r="E1" s="56" t="s">
        <v>17</v>
      </c>
      <c r="F1" s="56" t="s">
        <v>18</v>
      </c>
      <c r="G1" s="55" t="s">
        <v>20</v>
      </c>
      <c r="H1" s="56" t="s">
        <v>8</v>
      </c>
      <c r="I1" s="56" t="s">
        <v>9</v>
      </c>
      <c r="L1" s="54" t="s">
        <v>12</v>
      </c>
      <c r="M1" s="54" t="s">
        <v>13</v>
      </c>
      <c r="N1" s="60" t="s">
        <v>7</v>
      </c>
      <c r="O1" s="60"/>
      <c r="R1" s="56" t="s">
        <v>10</v>
      </c>
      <c r="S1" s="65" t="s">
        <v>11</v>
      </c>
      <c r="T1" s="65" t="s">
        <v>27</v>
      </c>
    </row>
    <row r="2" spans="1:48" s="4" customFormat="1" ht="18" x14ac:dyDescent="0.25">
      <c r="A2" s="43" t="s">
        <v>21</v>
      </c>
      <c r="B2" s="29"/>
      <c r="C2" s="29"/>
      <c r="D2" s="29"/>
      <c r="E2" s="20"/>
      <c r="F2" s="20"/>
      <c r="G2" s="21"/>
      <c r="H2" s="62"/>
      <c r="I2" s="61"/>
      <c r="J2" s="61"/>
      <c r="K2" s="22" t="s">
        <v>0</v>
      </c>
      <c r="L2" s="72" t="s">
        <v>22</v>
      </c>
      <c r="M2" s="72"/>
      <c r="N2" s="72"/>
      <c r="O2" s="30"/>
      <c r="P2" s="3" t="s">
        <v>4</v>
      </c>
      <c r="Q2" s="64" t="s">
        <v>172</v>
      </c>
      <c r="R2" s="64"/>
      <c r="S2" s="64"/>
      <c r="T2" s="64"/>
      <c r="U2" s="4" t="s">
        <v>164</v>
      </c>
    </row>
    <row r="3" spans="1:48" s="19" customFormat="1" ht="30.75" customHeight="1" x14ac:dyDescent="0.2">
      <c r="A3" s="31" t="s">
        <v>53</v>
      </c>
      <c r="B3" s="15" t="s">
        <v>37</v>
      </c>
      <c r="C3" s="13" t="s">
        <v>35</v>
      </c>
      <c r="D3" s="13" t="s">
        <v>36</v>
      </c>
      <c r="E3" s="14" t="s">
        <v>5</v>
      </c>
      <c r="F3" s="14" t="s">
        <v>6</v>
      </c>
      <c r="G3" s="49" t="s">
        <v>40</v>
      </c>
      <c r="H3" s="49" t="s">
        <v>41</v>
      </c>
      <c r="I3" s="49" t="s">
        <v>42</v>
      </c>
      <c r="J3" s="49" t="s">
        <v>171</v>
      </c>
      <c r="K3" s="33" t="s">
        <v>0</v>
      </c>
      <c r="L3" s="16" t="s">
        <v>2</v>
      </c>
      <c r="M3" s="17" t="s">
        <v>3</v>
      </c>
      <c r="N3" s="31" t="s">
        <v>38</v>
      </c>
      <c r="O3" s="31" t="s">
        <v>39</v>
      </c>
      <c r="P3" s="18" t="s">
        <v>23</v>
      </c>
      <c r="Q3" s="16" t="s">
        <v>162</v>
      </c>
      <c r="R3" s="16" t="s">
        <v>158</v>
      </c>
      <c r="S3" s="16" t="s">
        <v>157</v>
      </c>
      <c r="T3" s="16" t="s">
        <v>163</v>
      </c>
      <c r="U3" s="71" t="s">
        <v>173</v>
      </c>
      <c r="V3" s="70" t="s">
        <v>174</v>
      </c>
      <c r="W3" s="70" t="s">
        <v>175</v>
      </c>
    </row>
    <row r="4" spans="1:48" s="36" customFormat="1" ht="15" customHeight="1" x14ac:dyDescent="0.2">
      <c r="A4" s="39">
        <v>42443.621365740742</v>
      </c>
      <c r="B4" s="34" t="e">
        <f>IF(ISBLANK(#REF!),0,INDEX(T_TBS[EAID],MATCH(#REF!,#REF!,0)))</f>
        <v>#REF!</v>
      </c>
      <c r="C4" s="35" t="e">
        <f>IF(ISBLANK(#REF!),0,INDEX(T_TBS[EAID],MATCH(#REF!,#REF!,0)))</f>
        <v>#REF!</v>
      </c>
      <c r="D4" s="35" t="e">
        <f>IF(ISBLANK(#REF!),0,INDEX(T_TBS[EA TypeID],MATCH(T_TBS[EA ParentID],T_TBS[EAID],0)))</f>
        <v>#REF!</v>
      </c>
      <c r="G4" s="38">
        <f t="shared" ref="G4:G9" si="0">IF(Q4="Table",4,23)</f>
        <v>4</v>
      </c>
      <c r="H4" s="53"/>
      <c r="I4" s="53"/>
      <c r="J4" s="53" t="str">
        <f t="shared" ref="J4:J9" si="1">IF(Q4="Table","",IF(Q3="Table",R3,J3))</f>
        <v/>
      </c>
      <c r="L4" s="36" t="s">
        <v>106</v>
      </c>
      <c r="M4" s="36">
        <v>1</v>
      </c>
      <c r="N4" s="39"/>
      <c r="O4" s="39">
        <f>IF(NOT(ISBLANK(T_TBS[Excel Modified Date (Set by Script)])),T_TBS[Excel Modified Date (Set by Script)],"")</f>
        <v>42443.621365740742</v>
      </c>
      <c r="P4" s="40"/>
      <c r="Q4" s="40" t="s">
        <v>159</v>
      </c>
      <c r="R4" s="41" t="s">
        <v>178</v>
      </c>
      <c r="S4" s="69" t="s">
        <v>165</v>
      </c>
      <c r="T4" s="66" t="str">
        <f>IF(T_TBS[Table/Field?]="Table",T_TBS[Name],T_TBS[Parent Table]&amp;"."&amp;T_TBS[Name])</f>
        <v>Table 1</v>
      </c>
      <c r="U4" s="63"/>
      <c r="V4" s="63"/>
      <c r="W4" s="63" t="e">
        <f ca="1">LookupMatches(T_TBS[],T_TBS[[#This Row],[Full Name]], T_ECAR[], T_ECAR[[#This Row],[TBS Full Name]],T_ECAR[[#This Row],[Full Name]])</f>
        <v>#NAME?</v>
      </c>
    </row>
    <row r="5" spans="1:48" ht="15" customHeight="1" x14ac:dyDescent="0.2">
      <c r="A5" s="39"/>
      <c r="B5" s="51" t="e">
        <f>IF(ISBLANK(#REF!),0,INDEX(T_TBS[EAID],MATCH(#REF!,#REF!,0)))</f>
        <v>#REF!</v>
      </c>
      <c r="C5" s="52" t="e">
        <f>IF(ISBLANK(#REF!),0,INDEX(T_TBS[EAID],MATCH(#REF!,#REF!,0)))</f>
        <v>#REF!</v>
      </c>
      <c r="D5" s="52" t="e">
        <f>IF(ISBLANK(#REF!),0,INDEX(T_TBS[EA TypeID],MATCH(T_TBS[EA ParentID],T_TBS[EAID],0)))</f>
        <v>#REF!</v>
      </c>
      <c r="E5" s="53"/>
      <c r="F5" s="52"/>
      <c r="G5" s="37">
        <f t="shared" si="0"/>
        <v>23</v>
      </c>
      <c r="H5" s="51" t="s">
        <v>34</v>
      </c>
      <c r="I5" s="51"/>
      <c r="J5" s="51" t="str">
        <f t="shared" si="1"/>
        <v>Table 1</v>
      </c>
      <c r="K5" s="53"/>
      <c r="L5" s="53" t="s">
        <v>106</v>
      </c>
      <c r="M5" s="51"/>
      <c r="N5" s="39"/>
      <c r="O5" s="39" t="str">
        <f>IF(NOT(ISBLANK(T_TBS[Excel Modified Date (Set by Script)])),T_TBS[Excel Modified Date (Set by Script)],"")</f>
        <v/>
      </c>
      <c r="P5" s="51"/>
      <c r="Q5" s="51" t="s">
        <v>160</v>
      </c>
      <c r="R5" s="42" t="s">
        <v>179</v>
      </c>
      <c r="S5" s="69" t="s">
        <v>166</v>
      </c>
      <c r="T5" s="67" t="str">
        <f>IF(T_TBS[Table/Field?]="Table",T_TBS[Name],T_TBS[Parent Table]&amp;"."&amp;T_TBS[Name])</f>
        <v>Table 1.Field 1</v>
      </c>
      <c r="U5" s="63"/>
      <c r="V5" s="63"/>
      <c r="W5" s="63" t="e">
        <f ca="1">LookupMatches(T_TBS[],T_TBS[[#This Row],[Full Name]], T_ECAR[], T_ECAR[[#This Row],[TBS Full Name]],T_ECAR[[#This Row],[Full Name]])</f>
        <v>#NAME?</v>
      </c>
      <c r="X5" s="6"/>
      <c r="Y5" s="6"/>
      <c r="Z5" s="9"/>
      <c r="AA5" s="9"/>
      <c r="AC5" s="9"/>
      <c r="AD5" s="9"/>
      <c r="AE5" s="9"/>
      <c r="AF5" s="9"/>
      <c r="AG5" s="9"/>
      <c r="AJ5" s="7"/>
      <c r="AK5" s="7"/>
      <c r="AL5" s="7"/>
      <c r="AM5" s="7"/>
      <c r="AN5" s="6"/>
      <c r="AR5" s="9"/>
      <c r="AS5" s="9"/>
      <c r="AT5" s="9"/>
      <c r="AU5" s="9"/>
      <c r="AV5" s="9"/>
    </row>
    <row r="6" spans="1:48" ht="15" customHeight="1" x14ac:dyDescent="0.2">
      <c r="A6" s="39"/>
      <c r="B6" s="51" t="e">
        <f>IF(ISBLANK(#REF!),0,INDEX(T_TBS[EAID],MATCH(#REF!,#REF!,0)))</f>
        <v>#REF!</v>
      </c>
      <c r="C6" s="52" t="e">
        <f>IF(ISBLANK(#REF!),0,INDEX(T_TBS[EAID],MATCH(#REF!,#REF!,0)))</f>
        <v>#REF!</v>
      </c>
      <c r="D6" s="52" t="e">
        <f>IF(ISBLANK(#REF!),0,INDEX(T_TBS[EA TypeID],MATCH(T_TBS[EA ParentID],T_TBS[EAID],0)))</f>
        <v>#REF!</v>
      </c>
      <c r="E6" s="53"/>
      <c r="F6" s="52"/>
      <c r="G6" s="37">
        <f t="shared" si="0"/>
        <v>23</v>
      </c>
      <c r="H6" s="51" t="s">
        <v>33</v>
      </c>
      <c r="I6" s="51"/>
      <c r="J6" s="51" t="str">
        <f t="shared" si="1"/>
        <v>Table 1</v>
      </c>
      <c r="K6" s="53"/>
      <c r="L6" s="53" t="s">
        <v>106</v>
      </c>
      <c r="M6" s="51"/>
      <c r="N6" s="39"/>
      <c r="O6" s="39" t="str">
        <f>IF(NOT(ISBLANK(T_TBS[Excel Modified Date (Set by Script)])),T_TBS[Excel Modified Date (Set by Script)],"")</f>
        <v/>
      </c>
      <c r="P6" s="51"/>
      <c r="Q6" s="51" t="s">
        <v>160</v>
      </c>
      <c r="R6" s="42" t="s">
        <v>180</v>
      </c>
      <c r="S6" s="69" t="s">
        <v>167</v>
      </c>
      <c r="T6" s="67" t="str">
        <f>IF(T_TBS[Table/Field?]="Table",T_TBS[Name],T_TBS[Parent Table]&amp;"."&amp;T_TBS[Name])</f>
        <v>Table 1.Field 2</v>
      </c>
      <c r="U6" s="63"/>
      <c r="V6" s="63" t="s">
        <v>190</v>
      </c>
      <c r="W6" s="63" t="e">
        <f ca="1">LookupMatches(T_TBS[],T_TBS[[#This Row],[Full Name]], T_ECAR[], T_ECAR[[#This Row],[TBS Full Name]],T_ECAR[[#This Row],[Full Name]])</f>
        <v>#NAME?</v>
      </c>
      <c r="X6" s="6"/>
      <c r="Y6" s="6"/>
      <c r="Z6" s="9"/>
      <c r="AA6" s="9"/>
      <c r="AC6" s="9"/>
      <c r="AD6" s="9"/>
      <c r="AE6" s="9"/>
      <c r="AF6" s="9"/>
      <c r="AG6" s="9"/>
      <c r="AJ6" s="7"/>
      <c r="AK6" s="7"/>
      <c r="AL6" s="7"/>
      <c r="AM6" s="7"/>
      <c r="AN6" s="6"/>
      <c r="AR6" s="9"/>
      <c r="AS6" s="9"/>
      <c r="AT6" s="9"/>
      <c r="AU6" s="9"/>
      <c r="AV6" s="9"/>
    </row>
    <row r="7" spans="1:48" ht="15" customHeight="1" x14ac:dyDescent="0.2">
      <c r="A7" s="39">
        <v>42446.66511574074</v>
      </c>
      <c r="B7" s="51" t="e">
        <f>IF(ISBLANK(#REF!),0,INDEX(T_TBS[EAID],MATCH(#REF!,#REF!,0)))</f>
        <v>#REF!</v>
      </c>
      <c r="C7" s="52" t="e">
        <f>IF(ISBLANK(#REF!),0,INDEX(T_TBS[EAID],MATCH(#REF!,#REF!,0)))</f>
        <v>#REF!</v>
      </c>
      <c r="D7" s="52" t="e">
        <f>IF(ISBLANK(#REF!),0,INDEX(T_TBS[EA TypeID],MATCH(T_TBS[EA ParentID],T_TBS[EAID],0)))</f>
        <v>#REF!</v>
      </c>
      <c r="E7" s="53"/>
      <c r="F7" s="52"/>
      <c r="G7" s="37">
        <f t="shared" si="0"/>
        <v>23</v>
      </c>
      <c r="H7" s="51"/>
      <c r="I7" s="51"/>
      <c r="J7" s="51" t="str">
        <f t="shared" si="1"/>
        <v>Table 1</v>
      </c>
      <c r="K7" s="53"/>
      <c r="L7" s="53" t="s">
        <v>106</v>
      </c>
      <c r="M7" s="51"/>
      <c r="N7" s="39"/>
      <c r="O7" s="39">
        <f>IF(NOT(ISBLANK(T_TBS[Excel Modified Date (Set by Script)])),T_TBS[Excel Modified Date (Set by Script)],"")</f>
        <v>42446.66511574074</v>
      </c>
      <c r="P7" s="51"/>
      <c r="Q7" s="51" t="s">
        <v>160</v>
      </c>
      <c r="R7" s="42" t="s">
        <v>187</v>
      </c>
      <c r="S7" s="69" t="s">
        <v>168</v>
      </c>
      <c r="T7" s="67" t="str">
        <f>IF(T_TBS[Table/Field?]="Table",T_TBS[Name],T_TBS[Parent Table]&amp;"."&amp;T_TBS[Name])</f>
        <v>Table 1.Field 3</v>
      </c>
      <c r="U7" s="63"/>
      <c r="V7" s="63" t="s">
        <v>190</v>
      </c>
      <c r="W7" s="63" t="e">
        <f ca="1">LookupMatches(T_TBS[],T_TBS[[#This Row],[Full Name]], T_ECAR[], T_ECAR[[#This Row],[TBS Full Name]],T_ECAR[[#This Row],[Full Name]])</f>
        <v>#NAME?</v>
      </c>
      <c r="X7" s="6"/>
      <c r="Y7" s="6"/>
      <c r="Z7" s="9"/>
      <c r="AA7" s="9"/>
      <c r="AC7" s="9"/>
      <c r="AD7" s="9"/>
      <c r="AE7" s="9"/>
      <c r="AF7" s="9"/>
      <c r="AG7" s="9"/>
      <c r="AJ7" s="7"/>
      <c r="AK7" s="7"/>
      <c r="AL7" s="7"/>
      <c r="AM7" s="7"/>
      <c r="AN7" s="6"/>
      <c r="AR7" s="9"/>
      <c r="AS7" s="9"/>
      <c r="AT7" s="9"/>
      <c r="AU7" s="9"/>
      <c r="AV7" s="9"/>
    </row>
    <row r="8" spans="1:48" ht="15" customHeight="1" x14ac:dyDescent="0.2">
      <c r="A8" s="39"/>
      <c r="B8" s="51" t="e">
        <f>IF(ISBLANK(#REF!),0,INDEX(T_TBS[EAID],MATCH(#REF!,#REF!,0)))</f>
        <v>#REF!</v>
      </c>
      <c r="C8" s="52" t="e">
        <f>IF(ISBLANK(#REF!),0,INDEX(T_TBS[EAID],MATCH(#REF!,#REF!,0)))</f>
        <v>#REF!</v>
      </c>
      <c r="D8" s="52" t="e">
        <f>IF(ISBLANK(#REF!),0,INDEX(T_TBS[EA TypeID],MATCH(T_TBS[EA ParentID],T_TBS[EAID],0)))</f>
        <v>#REF!</v>
      </c>
      <c r="E8" s="53"/>
      <c r="F8" s="52"/>
      <c r="G8" s="37">
        <f t="shared" si="0"/>
        <v>23</v>
      </c>
      <c r="H8" s="51"/>
      <c r="I8" s="51"/>
      <c r="J8" s="51" t="str">
        <f t="shared" si="1"/>
        <v>Table 1</v>
      </c>
      <c r="K8" s="53"/>
      <c r="L8" s="53" t="s">
        <v>106</v>
      </c>
      <c r="M8" s="51"/>
      <c r="N8" s="39"/>
      <c r="O8" s="39" t="str">
        <f>IF(NOT(ISBLANK(T_TBS[Excel Modified Date (Set by Script)])),T_TBS[Excel Modified Date (Set by Script)],"")</f>
        <v/>
      </c>
      <c r="P8" s="51"/>
      <c r="Q8" s="51" t="s">
        <v>160</v>
      </c>
      <c r="R8" s="42" t="s">
        <v>188</v>
      </c>
      <c r="S8" s="69" t="s">
        <v>169</v>
      </c>
      <c r="T8" s="67" t="str">
        <f>IF(T_TBS[Table/Field?]="Table",T_TBS[Name],T_TBS[Parent Table]&amp;"."&amp;T_TBS[Name])</f>
        <v>Table 1.Field 4</v>
      </c>
      <c r="U8" s="63"/>
      <c r="V8" s="63" t="s">
        <v>195</v>
      </c>
      <c r="W8" s="63" t="e">
        <f ca="1">LookupMatches(T_TBS[],T_TBS[[#This Row],[Full Name]], T_ECAR[], T_ECAR[[#This Row],[TBS Full Name]],T_ECAR[[#This Row],[Full Name]])</f>
        <v>#NAME?</v>
      </c>
      <c r="X8" s="6"/>
      <c r="Y8" s="6"/>
      <c r="Z8" s="9"/>
      <c r="AA8" s="9"/>
      <c r="AC8" s="9"/>
      <c r="AD8" s="9"/>
      <c r="AE8" s="9"/>
      <c r="AF8" s="9"/>
      <c r="AG8" s="9"/>
      <c r="AJ8" s="7"/>
      <c r="AK8" s="7"/>
      <c r="AL8" s="7"/>
      <c r="AM8" s="7"/>
      <c r="AN8" s="6"/>
      <c r="AR8" s="9"/>
      <c r="AS8" s="9"/>
      <c r="AT8" s="9"/>
      <c r="AU8" s="9"/>
      <c r="AV8" s="9"/>
    </row>
    <row r="9" spans="1:48" ht="15" customHeight="1" x14ac:dyDescent="0.2">
      <c r="A9" s="39"/>
      <c r="B9" s="51" t="e">
        <f>IF(ISBLANK(#REF!),0,INDEX(T_TBS[EAID],MATCH(#REF!,#REF!,0)))</f>
        <v>#REF!</v>
      </c>
      <c r="C9" s="52" t="e">
        <f>IF(ISBLANK(#REF!),0,INDEX(T_TBS[EAID],MATCH(#REF!,#REF!,0)))</f>
        <v>#REF!</v>
      </c>
      <c r="D9" s="52" t="e">
        <f>IF(ISBLANK(#REF!),0,INDEX(T_TBS[EA TypeID],MATCH(T_TBS[EA ParentID],T_TBS[EAID],0)))</f>
        <v>#REF!</v>
      </c>
      <c r="E9" s="53"/>
      <c r="F9" s="52"/>
      <c r="G9" s="37">
        <f t="shared" si="0"/>
        <v>23</v>
      </c>
      <c r="H9" s="51" t="s">
        <v>33</v>
      </c>
      <c r="I9" s="51"/>
      <c r="J9" s="51" t="str">
        <f t="shared" si="1"/>
        <v>Table 1</v>
      </c>
      <c r="K9" s="53"/>
      <c r="L9" s="53" t="s">
        <v>106</v>
      </c>
      <c r="M9" s="51"/>
      <c r="N9" s="39"/>
      <c r="O9" s="39" t="str">
        <f>IF(NOT(ISBLANK(T_TBS[Excel Modified Date (Set by Script)])),T_TBS[Excel Modified Date (Set by Script)],"")</f>
        <v/>
      </c>
      <c r="P9" s="51"/>
      <c r="Q9" s="51" t="s">
        <v>160</v>
      </c>
      <c r="R9" s="42" t="s">
        <v>189</v>
      </c>
      <c r="S9" s="69" t="s">
        <v>170</v>
      </c>
      <c r="T9" s="67" t="str">
        <f>IF(T_TBS[Table/Field?]="Table",T_TBS[Name],T_TBS[Parent Table]&amp;"."&amp;T_TBS[Name])</f>
        <v>Table 1.Field 5</v>
      </c>
      <c r="U9" s="63"/>
      <c r="V9" s="63"/>
      <c r="W9" s="63" t="e">
        <f ca="1">LookupMatches(T_TBS[],T_TBS[[#This Row],[Full Name]], T_ECAR[], T_ECAR[[#This Row],[TBS Full Name]],T_ECAR[[#This Row],[Full Name]])</f>
        <v>#NAME?</v>
      </c>
      <c r="X9" s="6"/>
      <c r="Y9" s="6"/>
      <c r="Z9" s="9"/>
      <c r="AA9" s="9"/>
      <c r="AC9" s="9"/>
      <c r="AD9" s="9"/>
      <c r="AE9" s="9"/>
      <c r="AF9" s="9"/>
      <c r="AG9" s="9"/>
      <c r="AJ9" s="7"/>
      <c r="AK9" s="7"/>
      <c r="AL9" s="7"/>
      <c r="AM9" s="7"/>
      <c r="AN9" s="6"/>
      <c r="AR9" s="9"/>
      <c r="AS9" s="9"/>
      <c r="AT9" s="9"/>
      <c r="AU9" s="9"/>
      <c r="AV9" s="9"/>
    </row>
  </sheetData>
  <mergeCells count="1">
    <mergeCell ref="L2:N2"/>
  </mergeCells>
  <conditionalFormatting sqref="P1:P1048576">
    <cfRule type="expression" dxfId="34" priority="5">
      <formula>$P$2&lt;&gt;""</formula>
    </cfRule>
  </conditionalFormatting>
  <conditionalFormatting sqref="K1:K1048576">
    <cfRule type="expression" dxfId="33" priority="50">
      <formula>$K$2&lt;&gt;""</formula>
    </cfRule>
  </conditionalFormatting>
  <conditionalFormatting sqref="K4:K9">
    <cfRule type="expression" dxfId="32" priority="3">
      <formula>$L4="New"</formula>
    </cfRule>
    <cfRule type="expression" dxfId="31" priority="4">
      <formula>$L4="Defective"</formula>
    </cfRule>
  </conditionalFormatting>
  <conditionalFormatting sqref="U1:U1048576">
    <cfRule type="expression" dxfId="30" priority="1">
      <formula>$U$2&lt;&gt;""</formula>
    </cfRule>
  </conditionalFormatting>
  <conditionalFormatting sqref="A4:W9">
    <cfRule type="expression" dxfId="29" priority="65">
      <formula>$L4="Rejected"</formula>
    </cfRule>
    <cfRule type="expression" dxfId="28" priority="66">
      <formula>$G4=5</formula>
    </cfRule>
    <cfRule type="expression" dxfId="27" priority="67">
      <formula>OR($G4=4,$G4=8,$G4=52)</formula>
    </cfRule>
  </conditionalFormatting>
  <dataValidations count="4">
    <dataValidation type="list" allowBlank="1" showErrorMessage="1" sqref="L4:L9">
      <formula1>LL_Status</formula1>
    </dataValidation>
    <dataValidation type="list" allowBlank="1" showInputMessage="1" showErrorMessage="1" sqref="G4:G9">
      <formula1>LL_EAObject_TypeIDs</formula1>
    </dataValidation>
    <dataValidation type="list" allowBlank="1" showInputMessage="1" showErrorMessage="1" sqref="H4:H9">
      <formula1>LL_Element_Types</formula1>
    </dataValidation>
    <dataValidation type="list" allowBlank="1" showInputMessage="1" showErrorMessage="1" sqref="Q4:Q9">
      <formula1>LL_Table_Field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14999847407452621"/>
  </sheetPr>
  <dimension ref="A1:B6"/>
  <sheetViews>
    <sheetView workbookViewId="0">
      <selection activeCell="B9" sqref="B9"/>
    </sheetView>
  </sheetViews>
  <sheetFormatPr defaultRowHeight="15" x14ac:dyDescent="0.2"/>
  <cols>
    <col min="1" max="1" width="26.33203125" customWidth="1"/>
    <col min="2" max="2" width="40.21875" customWidth="1"/>
  </cols>
  <sheetData>
    <row r="1" spans="1:2" ht="15.75" x14ac:dyDescent="0.25">
      <c r="A1" s="1" t="s">
        <v>1</v>
      </c>
      <c r="B1" t="s">
        <v>26</v>
      </c>
    </row>
    <row r="2" spans="1:2" ht="15.75" x14ac:dyDescent="0.25">
      <c r="A2" s="11" t="s">
        <v>25</v>
      </c>
      <c r="B2" s="8" t="s">
        <v>105</v>
      </c>
    </row>
    <row r="3" spans="1:2" ht="15.75" x14ac:dyDescent="0.25">
      <c r="A3" s="11" t="s">
        <v>24</v>
      </c>
      <c r="B3" s="8" t="s">
        <v>105</v>
      </c>
    </row>
    <row r="4" spans="1:2" ht="15.75" x14ac:dyDescent="0.25">
      <c r="A4" s="2"/>
      <c r="B4" s="5"/>
    </row>
    <row r="5" spans="1:2" ht="15.75" x14ac:dyDescent="0.25">
      <c r="A5" s="2"/>
      <c r="B5" s="5"/>
    </row>
    <row r="6" spans="1:2" ht="15.75" x14ac:dyDescent="0.25">
      <c r="A6" s="5"/>
      <c r="B6" s="5"/>
    </row>
  </sheetData>
  <conditionalFormatting sqref="B1">
    <cfRule type="expression" dxfId="1" priority="1">
      <formula>$B$1=""</formula>
    </cfRule>
    <cfRule type="expression" dxfId="0" priority="2">
      <formula>$B$1=""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ltText="Import to Sparx EA" r:id="rId5">
            <anchor moveWithCells="1" sizeWithCells="1">
              <from>
                <xdr:col>0</xdr:col>
                <xdr:colOff>314325</xdr:colOff>
                <xdr:row>3</xdr:row>
                <xdr:rowOff>57150</xdr:rowOff>
              </from>
              <to>
                <xdr:col>1</xdr:col>
                <xdr:colOff>3257550</xdr:colOff>
                <xdr:row>5</xdr:row>
                <xdr:rowOff>180975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3"/>
  <sheetViews>
    <sheetView workbookViewId="0">
      <selection activeCell="E2" sqref="E2:E4"/>
    </sheetView>
  </sheetViews>
  <sheetFormatPr defaultRowHeight="15" x14ac:dyDescent="0.2"/>
  <cols>
    <col min="1" max="1" width="17.5546875" bestFit="1" customWidth="1"/>
    <col min="2" max="2" width="10.109375" customWidth="1"/>
    <col min="3" max="3" width="12.109375" customWidth="1"/>
    <col min="4" max="4" width="26.44140625" bestFit="1" customWidth="1"/>
    <col min="5" max="5" width="12.88671875" bestFit="1" customWidth="1"/>
    <col min="6" max="6" width="22.21875" customWidth="1"/>
    <col min="7" max="7" width="22.21875" style="45" customWidth="1"/>
    <col min="8" max="8" width="14.5546875" customWidth="1"/>
    <col min="9" max="9" width="27" style="45" bestFit="1" customWidth="1"/>
    <col min="10" max="10" width="15.6640625" customWidth="1"/>
  </cols>
  <sheetData>
    <row r="1" spans="1:10" s="23" customFormat="1" ht="15.75" x14ac:dyDescent="0.25">
      <c r="A1" s="23" t="s">
        <v>52</v>
      </c>
      <c r="C1" s="24" t="s">
        <v>2</v>
      </c>
      <c r="D1" s="24" t="s">
        <v>56</v>
      </c>
      <c r="E1" s="23" t="s">
        <v>161</v>
      </c>
      <c r="G1" s="45"/>
      <c r="I1" s="45"/>
    </row>
    <row r="2" spans="1:10" x14ac:dyDescent="0.2">
      <c r="A2" s="23" t="s">
        <v>55</v>
      </c>
      <c r="B2" s="23" t="s">
        <v>54</v>
      </c>
    </row>
    <row r="3" spans="1:10" x14ac:dyDescent="0.2">
      <c r="A3" s="45"/>
      <c r="B3" s="45"/>
      <c r="C3" s="23" t="s">
        <v>106</v>
      </c>
      <c r="D3" s="8" t="s">
        <v>57</v>
      </c>
      <c r="E3" t="s">
        <v>159</v>
      </c>
    </row>
    <row r="4" spans="1:10" x14ac:dyDescent="0.2">
      <c r="A4" t="s">
        <v>110</v>
      </c>
      <c r="B4">
        <v>23</v>
      </c>
      <c r="C4" s="23" t="s">
        <v>43</v>
      </c>
      <c r="D4" s="8" t="s">
        <v>58</v>
      </c>
      <c r="E4" t="s">
        <v>160</v>
      </c>
      <c r="F4" s="45"/>
      <c r="H4" s="45"/>
      <c r="J4" s="45"/>
    </row>
    <row r="5" spans="1:10" x14ac:dyDescent="0.2">
      <c r="A5" s="23" t="s">
        <v>111</v>
      </c>
      <c r="B5" s="23">
        <v>33</v>
      </c>
      <c r="C5" s="23" t="s">
        <v>44</v>
      </c>
      <c r="D5" s="8" t="s">
        <v>59</v>
      </c>
      <c r="F5" s="45"/>
      <c r="H5" s="45"/>
      <c r="J5" s="45"/>
    </row>
    <row r="6" spans="1:10" x14ac:dyDescent="0.2">
      <c r="A6" s="23" t="s">
        <v>112</v>
      </c>
      <c r="B6" s="23">
        <v>34</v>
      </c>
      <c r="C6" s="23" t="s">
        <v>45</v>
      </c>
      <c r="D6" s="8" t="s">
        <v>60</v>
      </c>
      <c r="F6" s="45"/>
      <c r="H6" s="45"/>
      <c r="J6" s="45"/>
    </row>
    <row r="7" spans="1:10" x14ac:dyDescent="0.2">
      <c r="A7" s="23" t="s">
        <v>113</v>
      </c>
      <c r="B7" s="23">
        <v>27</v>
      </c>
      <c r="C7" s="23" t="s">
        <v>46</v>
      </c>
      <c r="D7" s="8" t="s">
        <v>61</v>
      </c>
      <c r="F7" s="45"/>
      <c r="H7" s="45"/>
      <c r="J7" s="45"/>
    </row>
    <row r="8" spans="1:10" x14ac:dyDescent="0.2">
      <c r="A8" s="23" t="s">
        <v>114</v>
      </c>
      <c r="B8" s="23">
        <v>26</v>
      </c>
      <c r="C8" s="23" t="s">
        <v>156</v>
      </c>
      <c r="D8" s="8" t="s">
        <v>62</v>
      </c>
      <c r="F8" s="45"/>
      <c r="H8" s="45"/>
      <c r="J8" s="45"/>
    </row>
    <row r="9" spans="1:10" x14ac:dyDescent="0.2">
      <c r="A9" s="23" t="s">
        <v>115</v>
      </c>
      <c r="B9" s="23">
        <v>3</v>
      </c>
      <c r="C9" s="45" t="s">
        <v>50</v>
      </c>
      <c r="D9" s="8" t="s">
        <v>63</v>
      </c>
      <c r="F9" s="45"/>
      <c r="H9" s="45"/>
      <c r="J9" s="45"/>
    </row>
    <row r="10" spans="1:10" x14ac:dyDescent="0.2">
      <c r="A10" s="23" t="s">
        <v>116</v>
      </c>
      <c r="B10" s="23">
        <v>7</v>
      </c>
      <c r="C10" s="45" t="s">
        <v>49</v>
      </c>
      <c r="D10" s="8" t="s">
        <v>64</v>
      </c>
    </row>
    <row r="11" spans="1:10" x14ac:dyDescent="0.2">
      <c r="A11" s="23" t="s">
        <v>117</v>
      </c>
      <c r="B11" s="23">
        <v>37</v>
      </c>
      <c r="C11" s="45" t="s">
        <v>47</v>
      </c>
      <c r="D11" s="8" t="s">
        <v>65</v>
      </c>
    </row>
    <row r="12" spans="1:10" x14ac:dyDescent="0.2">
      <c r="A12" s="23" t="s">
        <v>118</v>
      </c>
      <c r="B12" s="23">
        <v>22</v>
      </c>
      <c r="C12" s="45" t="s">
        <v>48</v>
      </c>
      <c r="D12" s="8" t="s">
        <v>33</v>
      </c>
    </row>
    <row r="13" spans="1:10" x14ac:dyDescent="0.2">
      <c r="A13" s="23" t="s">
        <v>119</v>
      </c>
      <c r="B13" s="23">
        <v>38</v>
      </c>
      <c r="C13" s="45" t="s">
        <v>51</v>
      </c>
      <c r="D13" s="8" t="s">
        <v>66</v>
      </c>
    </row>
    <row r="14" spans="1:10" x14ac:dyDescent="0.2">
      <c r="A14" s="23" t="s">
        <v>68</v>
      </c>
      <c r="B14" s="23">
        <v>11</v>
      </c>
      <c r="D14" s="8" t="s">
        <v>67</v>
      </c>
    </row>
    <row r="15" spans="1:10" x14ac:dyDescent="0.2">
      <c r="A15" s="23" t="s">
        <v>120</v>
      </c>
      <c r="B15" s="23">
        <v>42</v>
      </c>
      <c r="D15" s="8" t="s">
        <v>68</v>
      </c>
    </row>
    <row r="16" spans="1:10" x14ac:dyDescent="0.2">
      <c r="A16" s="23" t="s">
        <v>121</v>
      </c>
      <c r="B16" s="23">
        <v>28</v>
      </c>
      <c r="D16" s="8" t="s">
        <v>69</v>
      </c>
    </row>
    <row r="17" spans="1:4" x14ac:dyDescent="0.2">
      <c r="A17" s="23" t="s">
        <v>108</v>
      </c>
      <c r="B17" s="23">
        <v>8</v>
      </c>
      <c r="D17" s="8" t="s">
        <v>70</v>
      </c>
    </row>
    <row r="18" spans="1:4" x14ac:dyDescent="0.2">
      <c r="A18" s="23" t="s">
        <v>122</v>
      </c>
      <c r="B18" s="23">
        <v>20</v>
      </c>
      <c r="D18" s="8" t="s">
        <v>71</v>
      </c>
    </row>
    <row r="19" spans="1:4" x14ac:dyDescent="0.2">
      <c r="A19" s="23" t="s">
        <v>123</v>
      </c>
      <c r="B19" s="23">
        <v>19</v>
      </c>
      <c r="D19" s="8" t="s">
        <v>72</v>
      </c>
    </row>
    <row r="20" spans="1:4" x14ac:dyDescent="0.2">
      <c r="A20" s="23" t="s">
        <v>31</v>
      </c>
      <c r="B20" s="23">
        <v>58</v>
      </c>
      <c r="D20" s="8" t="s">
        <v>73</v>
      </c>
    </row>
    <row r="21" spans="1:4" x14ac:dyDescent="0.2">
      <c r="A21" s="23" t="s">
        <v>124</v>
      </c>
      <c r="B21" s="23">
        <v>14</v>
      </c>
      <c r="D21" s="8" t="s">
        <v>74</v>
      </c>
    </row>
    <row r="22" spans="1:4" x14ac:dyDescent="0.2">
      <c r="A22" s="23" t="s">
        <v>109</v>
      </c>
      <c r="B22" s="23">
        <v>4</v>
      </c>
      <c r="D22" s="8" t="s">
        <v>75</v>
      </c>
    </row>
    <row r="23" spans="1:4" x14ac:dyDescent="0.2">
      <c r="A23" s="23" t="s">
        <v>125</v>
      </c>
      <c r="B23" s="23">
        <v>46</v>
      </c>
      <c r="D23" s="8" t="s">
        <v>76</v>
      </c>
    </row>
    <row r="24" spans="1:4" x14ac:dyDescent="0.2">
      <c r="A24" s="23" t="s">
        <v>126</v>
      </c>
      <c r="B24" s="23">
        <v>45</v>
      </c>
      <c r="D24" s="8" t="s">
        <v>77</v>
      </c>
    </row>
    <row r="25" spans="1:4" x14ac:dyDescent="0.2">
      <c r="A25" s="23" t="s">
        <v>127</v>
      </c>
      <c r="B25" s="23">
        <v>13</v>
      </c>
      <c r="D25" s="8" t="s">
        <v>78</v>
      </c>
    </row>
    <row r="26" spans="1:4" x14ac:dyDescent="0.2">
      <c r="A26" s="23" t="s">
        <v>85</v>
      </c>
      <c r="B26" s="23">
        <v>16</v>
      </c>
      <c r="D26" s="8" t="s">
        <v>79</v>
      </c>
    </row>
    <row r="27" spans="1:4" x14ac:dyDescent="0.2">
      <c r="A27" s="23" t="s">
        <v>32</v>
      </c>
      <c r="B27" s="23">
        <v>59</v>
      </c>
      <c r="D27" s="8" t="s">
        <v>80</v>
      </c>
    </row>
    <row r="28" spans="1:4" x14ac:dyDescent="0.2">
      <c r="A28" s="23" t="s">
        <v>128</v>
      </c>
      <c r="B28" s="23">
        <v>24</v>
      </c>
      <c r="D28" s="8" t="s">
        <v>81</v>
      </c>
    </row>
    <row r="29" spans="1:4" x14ac:dyDescent="0.2">
      <c r="A29" s="23" t="s">
        <v>129</v>
      </c>
      <c r="B29" s="23">
        <v>35</v>
      </c>
      <c r="D29" s="8" t="s">
        <v>82</v>
      </c>
    </row>
    <row r="30" spans="1:4" x14ac:dyDescent="0.2">
      <c r="A30" s="23" t="s">
        <v>130</v>
      </c>
      <c r="B30" s="23">
        <v>36</v>
      </c>
      <c r="D30" s="8" t="s">
        <v>83</v>
      </c>
    </row>
    <row r="31" spans="1:4" x14ac:dyDescent="0.2">
      <c r="A31" s="23" t="s">
        <v>131</v>
      </c>
      <c r="B31" s="23">
        <v>15</v>
      </c>
      <c r="D31" s="8" t="s">
        <v>84</v>
      </c>
    </row>
    <row r="32" spans="1:4" x14ac:dyDescent="0.2">
      <c r="A32" s="23" t="s">
        <v>132</v>
      </c>
      <c r="B32" s="23">
        <v>6</v>
      </c>
      <c r="D32" s="8" t="s">
        <v>85</v>
      </c>
    </row>
    <row r="33" spans="1:4" x14ac:dyDescent="0.2">
      <c r="A33" s="23" t="s">
        <v>133</v>
      </c>
      <c r="B33" s="23">
        <v>53</v>
      </c>
      <c r="D33" s="8" t="s">
        <v>86</v>
      </c>
    </row>
    <row r="34" spans="1:4" x14ac:dyDescent="0.2">
      <c r="A34" s="23" t="s">
        <v>89</v>
      </c>
      <c r="B34" s="23">
        <v>5</v>
      </c>
      <c r="D34" s="8" t="s">
        <v>87</v>
      </c>
    </row>
    <row r="35" spans="1:4" x14ac:dyDescent="0.2">
      <c r="A35" s="23" t="s">
        <v>90</v>
      </c>
      <c r="B35" s="23">
        <v>25</v>
      </c>
      <c r="D35" s="8" t="s">
        <v>88</v>
      </c>
    </row>
    <row r="36" spans="1:4" x14ac:dyDescent="0.2">
      <c r="A36" s="23" t="s">
        <v>29</v>
      </c>
      <c r="B36" s="23">
        <v>56</v>
      </c>
      <c r="D36" s="8" t="s">
        <v>89</v>
      </c>
    </row>
    <row r="37" spans="1:4" x14ac:dyDescent="0.2">
      <c r="A37" s="23" t="s">
        <v>134</v>
      </c>
      <c r="B37" s="23">
        <v>43</v>
      </c>
      <c r="D37" s="8" t="s">
        <v>90</v>
      </c>
    </row>
    <row r="38" spans="1:4" x14ac:dyDescent="0.2">
      <c r="A38" s="23" t="s">
        <v>135</v>
      </c>
      <c r="B38" s="23">
        <v>1</v>
      </c>
      <c r="D38" s="8" t="s">
        <v>91</v>
      </c>
    </row>
    <row r="39" spans="1:4" x14ac:dyDescent="0.2">
      <c r="A39" s="23" t="s">
        <v>136</v>
      </c>
      <c r="B39" s="23">
        <v>32</v>
      </c>
      <c r="D39" s="8" t="s">
        <v>92</v>
      </c>
    </row>
    <row r="40" spans="1:4" x14ac:dyDescent="0.2">
      <c r="A40" s="23" t="s">
        <v>137</v>
      </c>
      <c r="B40" s="23">
        <v>39</v>
      </c>
      <c r="D40" s="8" t="s">
        <v>93</v>
      </c>
    </row>
    <row r="41" spans="1:4" x14ac:dyDescent="0.2">
      <c r="A41" s="23" t="s">
        <v>30</v>
      </c>
      <c r="B41" s="23">
        <v>57</v>
      </c>
      <c r="D41" s="8" t="s">
        <v>94</v>
      </c>
    </row>
    <row r="42" spans="1:4" x14ac:dyDescent="0.2">
      <c r="A42" s="23" t="s">
        <v>138</v>
      </c>
      <c r="B42" s="23">
        <v>48</v>
      </c>
      <c r="D42" s="8" t="s">
        <v>95</v>
      </c>
    </row>
    <row r="43" spans="1:4" x14ac:dyDescent="0.2">
      <c r="A43" s="23" t="s">
        <v>139</v>
      </c>
      <c r="B43" s="23">
        <v>49</v>
      </c>
      <c r="D43" s="8" t="s">
        <v>34</v>
      </c>
    </row>
    <row r="44" spans="1:4" x14ac:dyDescent="0.2">
      <c r="A44" s="23" t="s">
        <v>140</v>
      </c>
      <c r="B44" s="23">
        <v>47</v>
      </c>
      <c r="D44" s="8" t="s">
        <v>96</v>
      </c>
    </row>
    <row r="45" spans="1:4" x14ac:dyDescent="0.2">
      <c r="A45" s="23" t="s">
        <v>107</v>
      </c>
      <c r="B45" s="23">
        <v>40</v>
      </c>
      <c r="D45" s="8" t="s">
        <v>97</v>
      </c>
    </row>
    <row r="46" spans="1:4" x14ac:dyDescent="0.2">
      <c r="A46" s="23" t="s">
        <v>141</v>
      </c>
      <c r="B46" s="23">
        <v>2</v>
      </c>
      <c r="D46" s="8" t="s">
        <v>98</v>
      </c>
    </row>
    <row r="47" spans="1:4" x14ac:dyDescent="0.2">
      <c r="A47" s="23" t="s">
        <v>34</v>
      </c>
      <c r="B47" s="23">
        <v>9</v>
      </c>
      <c r="D47" s="8" t="s">
        <v>99</v>
      </c>
    </row>
    <row r="48" spans="1:4" x14ac:dyDescent="0.2">
      <c r="A48" s="23" t="s">
        <v>142</v>
      </c>
      <c r="B48" s="23">
        <v>21</v>
      </c>
      <c r="D48" s="8" t="s">
        <v>100</v>
      </c>
    </row>
    <row r="49" spans="1:4" x14ac:dyDescent="0.2">
      <c r="A49" s="23" t="s">
        <v>143</v>
      </c>
      <c r="B49" s="23">
        <v>17</v>
      </c>
      <c r="D49" s="8" t="s">
        <v>101</v>
      </c>
    </row>
    <row r="50" spans="1:4" x14ac:dyDescent="0.2">
      <c r="A50" s="23" t="s">
        <v>28</v>
      </c>
      <c r="B50" s="23">
        <v>41</v>
      </c>
      <c r="D50" s="8" t="s">
        <v>102</v>
      </c>
    </row>
    <row r="51" spans="1:4" x14ac:dyDescent="0.2">
      <c r="A51" s="23" t="s">
        <v>144</v>
      </c>
      <c r="B51" s="23">
        <v>10</v>
      </c>
      <c r="D51" s="8" t="s">
        <v>103</v>
      </c>
    </row>
    <row r="52" spans="1:4" x14ac:dyDescent="0.2">
      <c r="A52" s="23" t="s">
        <v>145</v>
      </c>
      <c r="B52" s="23">
        <v>55</v>
      </c>
      <c r="D52" s="8" t="s">
        <v>104</v>
      </c>
    </row>
    <row r="53" spans="1:4" x14ac:dyDescent="0.2">
      <c r="A53" s="23" t="s">
        <v>146</v>
      </c>
      <c r="B53" s="23">
        <v>54</v>
      </c>
    </row>
    <row r="54" spans="1:4" x14ac:dyDescent="0.2">
      <c r="A54" s="23" t="s">
        <v>147</v>
      </c>
      <c r="B54" s="23">
        <v>29</v>
      </c>
    </row>
    <row r="55" spans="1:4" x14ac:dyDescent="0.2">
      <c r="A55" s="23" t="s">
        <v>148</v>
      </c>
      <c r="B55" s="23">
        <v>52</v>
      </c>
    </row>
    <row r="56" spans="1:4" x14ac:dyDescent="0.2">
      <c r="A56" s="23" t="s">
        <v>149</v>
      </c>
      <c r="B56" s="23">
        <v>50</v>
      </c>
    </row>
    <row r="57" spans="1:4" x14ac:dyDescent="0.2">
      <c r="A57" s="23" t="s">
        <v>150</v>
      </c>
      <c r="B57" s="23">
        <v>51</v>
      </c>
    </row>
    <row r="58" spans="1:4" x14ac:dyDescent="0.2">
      <c r="A58" s="23" t="s">
        <v>151</v>
      </c>
      <c r="B58" s="23">
        <v>12</v>
      </c>
    </row>
    <row r="59" spans="1:4" x14ac:dyDescent="0.2">
      <c r="A59" s="23" t="s">
        <v>152</v>
      </c>
      <c r="B59" s="23">
        <v>30</v>
      </c>
    </row>
    <row r="60" spans="1:4" x14ac:dyDescent="0.2">
      <c r="A60" s="23" t="s">
        <v>153</v>
      </c>
      <c r="B60" s="23">
        <v>31</v>
      </c>
    </row>
    <row r="61" spans="1:4" x14ac:dyDescent="0.2">
      <c r="A61" s="23" t="s">
        <v>154</v>
      </c>
      <c r="B61" s="23">
        <v>18</v>
      </c>
    </row>
    <row r="62" spans="1:4" x14ac:dyDescent="0.2">
      <c r="A62" s="23" t="s">
        <v>155</v>
      </c>
      <c r="B62" s="23">
        <v>44</v>
      </c>
    </row>
    <row r="63" spans="1:4" x14ac:dyDescent="0.2">
      <c r="A63" s="23"/>
      <c r="B63" s="23"/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Specialist Products" ma:contentTypeID="0x010100E623EACA2C30D4408F7C942840CD01FD0008EB9B7C3278C94A8267B172B96CA149" ma:contentTypeVersion="15" ma:contentTypeDescription="" ma:contentTypeScope="" ma:versionID="a564cabdc7af36261820155584cfdcd4">
  <xsd:schema xmlns:xsd="http://www.w3.org/2001/XMLSchema" xmlns:p="http://schemas.microsoft.com/office/2006/metadata/properties" xmlns:ns2="835fdb9f-f88e-43a5-94c0-38ddbb1f6cd4" xmlns:ns3="29b4bc27-838b-4f7d-8750-3b9c627f1206" xmlns:ns4="http://schemas.microsoft.com/sharepoint/v3/fields" xmlns:ns5="2d9754bd-43a6-478d-bf04-b57147ddb280" xmlns:ns6="9b9e153e-6401-409c-bd0a-41b5f8ab74e4" targetNamespace="http://schemas.microsoft.com/office/2006/metadata/properties" ma:root="true" ma:fieldsID="d2231f488df5952250509e4f41fe6523" ns2:_="" ns3:_="" ns4:_="" ns5:_="" ns6:_="">
    <xsd:import namespace="835fdb9f-f88e-43a5-94c0-38ddbb1f6cd4"/>
    <xsd:import namespace="29b4bc27-838b-4f7d-8750-3b9c627f1206"/>
    <xsd:import namespace="http://schemas.microsoft.com/sharepoint/v3/fields"/>
    <xsd:import namespace="2d9754bd-43a6-478d-bf04-b57147ddb280"/>
    <xsd:import namespace="9b9e153e-6401-409c-bd0a-41b5f8ab74e4"/>
    <xsd:element name="properties">
      <xsd:complexType>
        <xsd:sequence>
          <xsd:element name="documentManagement">
            <xsd:complexType>
              <xsd:all>
                <xsd:element ref="ns2:Author0" minOccurs="0"/>
                <xsd:element ref="ns2:Classification" minOccurs="0"/>
                <xsd:element ref="ns2:Comments" minOccurs="0"/>
                <xsd:element ref="ns3:Date_x0020_of_x0020_Issue" minOccurs="0"/>
                <xsd:element ref="ns4:_Status" minOccurs="0"/>
                <xsd:element ref="ns2:Product_x0020_Reference_x0020_ID" minOccurs="0"/>
                <xsd:element ref="ns4:_Source" minOccurs="0"/>
                <xsd:element ref="ns5:Distribution"/>
                <xsd:element ref="ns6:Product_x0020_Checklist" minOccurs="0"/>
                <xsd:element ref="ns6:Product_x0020_Description" minOccurs="0"/>
                <xsd:element ref="ns6:Related_x0020_Products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835fdb9f-f88e-43a5-94c0-38ddbb1f6cd4" elementFormDefault="qualified">
    <xsd:import namespace="http://schemas.microsoft.com/office/2006/documentManagement/types"/>
    <xsd:element name="Author0" ma:index="8" nillable="true" ma:displayName="Author" ma:internalName="Author0">
      <xsd:simpleType>
        <xsd:restriction base="dms:Text">
          <xsd:maxLength value="255"/>
        </xsd:restriction>
      </xsd:simpleType>
    </xsd:element>
    <xsd:element name="Classification" ma:index="9" nillable="true" ma:displayName="Classification" ma:default="UNPROTECTED" ma:description="Protection status of document.&#10;NOTE: Documents classified as &quot;PROTECTE B&quot; MUST be encrypted in compliance with Government approved encryption policies." ma:format="Dropdown" ma:internalName="Classification">
      <xsd:simpleType>
        <xsd:restriction base="dms:Choice">
          <xsd:enumeration value="UNPROTECTED"/>
          <xsd:enumeration value="PROTECTED 'A'"/>
          <xsd:enumeration value="PROTECTED 'B'"/>
        </xsd:restriction>
      </xsd:simpleType>
    </xsd:element>
    <xsd:element name="Comments" ma:index="10" nillable="true" ma:displayName="Comments" ma:internalName="Comments">
      <xsd:simpleType>
        <xsd:restriction base="dms:Note"/>
      </xsd:simpleType>
    </xsd:element>
    <xsd:element name="Product_x0020_Reference_x0020_ID" ma:index="13" nillable="true" ma:displayName="Product ID" ma:description="If available, the unique identifier by which the product may be identified." ma:internalName="Product_x0020_Reference_x0020_ID">
      <xsd:simpleType>
        <xsd:restriction base="dms:Text">
          <xsd:maxLength value="20"/>
        </xsd:restriction>
      </xsd:simpleType>
    </xsd:element>
  </xsd:schema>
  <xsd:schema xmlns:xsd="http://www.w3.org/2001/XMLSchema" xmlns:dms="http://schemas.microsoft.com/office/2006/documentManagement/types" targetNamespace="29b4bc27-838b-4f7d-8750-3b9c627f1206" elementFormDefault="qualified">
    <xsd:import namespace="http://schemas.microsoft.com/office/2006/documentManagement/types"/>
    <xsd:element name="Date_x0020_of_x0020_Issue" ma:index="11" nillable="true" ma:displayName="Date of Issue" ma:format="DateOnly" ma:internalName="Date_x0020_of_x0020_Issue">
      <xsd:simpleType>
        <xsd:restriction base="dms:DateTime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2" nillable="true" ma:displayName="Document Status" ma:default="Draft" ma:format="Dropdown" ma:internalName="_Status">
      <xsd:simpleType>
        <xsd:union memberTypes="dms:Text">
          <xsd:simpleType>
            <xsd:restriction base="dms:Choice">
              <xsd:enumeration value="Draft"/>
              <xsd:enumeration value="Reviewed"/>
              <xsd:enumeration value="Final"/>
              <xsd:enumeration value="Published"/>
              <xsd:enumeration value="Expired"/>
            </xsd:restriction>
          </xsd:simpleType>
        </xsd:union>
      </xsd:simpleType>
    </xsd:element>
    <xsd:element name="_Source" ma:index="14" nillable="true" ma:displayName="Source" ma:description="References to resources from which this resource was derived" ma:internalName="_Source">
      <xsd:simpleType>
        <xsd:restriction base="dms:Note"/>
      </xsd:simpleType>
    </xsd:element>
  </xsd:schema>
  <xsd:schema xmlns:xsd="http://www.w3.org/2001/XMLSchema" xmlns:dms="http://schemas.microsoft.com/office/2006/documentManagement/types" targetNamespace="2d9754bd-43a6-478d-bf04-b57147ddb280" elementFormDefault="qualified">
    <xsd:import namespace="http://schemas.microsoft.com/office/2006/documentManagement/types"/>
    <xsd:element name="Distribution" ma:index="16" ma:displayName="Distribution" ma:default="No restriction" ma:description="The distribution status of the document." ma:format="Dropdown" ma:internalName="Distribution">
      <xsd:simpleType>
        <xsd:restriction base="dms:Choice">
          <xsd:enumeration value="No restriction"/>
          <xsd:enumeration value="Project Board only"/>
          <xsd:enumeration value="Project team only"/>
          <xsd:enumeration value="CSB only"/>
          <xsd:enumeration value="Department (EC) only"/>
          <xsd:enumeration value="Not for distribution"/>
        </xsd:restriction>
      </xsd:simpleType>
    </xsd:element>
  </xsd:schema>
  <xsd:schema xmlns:xsd="http://www.w3.org/2001/XMLSchema" xmlns:dms="http://schemas.microsoft.com/office/2006/documentManagement/types" targetNamespace="9b9e153e-6401-409c-bd0a-41b5f8ab74e4" elementFormDefault="qualified">
    <xsd:import namespace="http://schemas.microsoft.com/office/2006/documentManagement/types"/>
    <xsd:element name="Product_x0020_Checklist" ma:index="17" nillable="true" ma:displayName="Link to: Product Checklist" ma:description="Link to the product in the Product Checklist" ma:list="{704eb662-9bfd-4a07-a7ee-80165448d20c}" ma:internalName="Product_x0020_Checklist" ma:showField="Lookup_x0020_Nam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roduct_x0020_Description" ma:index="18" nillable="true" ma:displayName="Link to: Product Description" ma:description="Link to the product's description." ma:list="{335c7c7a-d362-4256-8b5e-b16b6df47f95}" ma:internalName="Product_x0020_Description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elated_x0020_Products" ma:index="19" nillable="true" ma:displayName="Related Products" ma:description="Other products in the Product Library, related to the current product." ma:list="{feb7a418-a661-4364-b8c1-dc88b01ce0e6}" ma:internalName="Related_x0020_Products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 ma:index="15" ma:displayName="Subject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Date_x0020_of_x0020_Issue xmlns="29b4bc27-838b-4f7d-8750-3b9c627f1206" xsi:nil="true"/>
    <_Source xmlns="http://schemas.microsoft.com/sharepoint/v3/fields" xsi:nil="true"/>
    <Distribution xmlns="2d9754bd-43a6-478d-bf04-b57147ddb280">No restriction</Distribution>
    <Product_x0020_Checklist xmlns="9b9e153e-6401-409c-bd0a-41b5f8ab74e4"/>
    <_Status xmlns="http://schemas.microsoft.com/sharepoint/v3/fields">Draft</_Status>
    <Classification xmlns="835fdb9f-f88e-43a5-94c0-38ddbb1f6cd4">UNPROTECTED</Classification>
    <Product_x0020_Description xmlns="9b9e153e-6401-409c-bd0a-41b5f8ab74e4"/>
    <Related_x0020_Products xmlns="9b9e153e-6401-409c-bd0a-41b5f8ab74e4">
      <Value>33</Value>
      <Value>58</Value>
    </Related_x0020_Products>
    <Comments xmlns="835fdb9f-f88e-43a5-94c0-38ddbb1f6cd4">Defective means I'm still working on it. 
Verified = should be correct, but still waiting final review and sign off. 
Proposed = I think I'm done with it, but need to review </Comments>
    <Author0 xmlns="835fdb9f-f88e-43a5-94c0-38ddbb1f6cd4">Steve Savage</Author0>
    <Product_x0020_Reference_x0020_ID xmlns="835fdb9f-f88e-43a5-94c0-38ddbb1f6cd4" xsi:nil="true"/>
  </documentManagement>
</p:properties>
</file>

<file path=customXml/itemProps1.xml><?xml version="1.0" encoding="utf-8"?>
<ds:datastoreItem xmlns:ds="http://schemas.openxmlformats.org/officeDocument/2006/customXml" ds:itemID="{6BE832ED-AD25-4B90-8375-A0F632683E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9BB538-1CEB-46E9-83FF-37B7CE49C0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35fdb9f-f88e-43a5-94c0-38ddbb1f6cd4"/>
    <ds:schemaRef ds:uri="29b4bc27-838b-4f7d-8750-3b9c627f1206"/>
    <ds:schemaRef ds:uri="http://schemas.microsoft.com/sharepoint/v3/fields"/>
    <ds:schemaRef ds:uri="2d9754bd-43a6-478d-bf04-b57147ddb280"/>
    <ds:schemaRef ds:uri="9b9e153e-6401-409c-bd0a-41b5f8ab74e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E5A7AA3-C20D-42AE-9C26-242C296D8796}">
  <ds:schemaRefs>
    <ds:schemaRef ds:uri="http://schemas.microsoft.com/office/2006/documentManagement/types"/>
    <ds:schemaRef ds:uri="http://schemas.microsoft.com/office/2006/metadata/properties"/>
    <ds:schemaRef ds:uri="835fdb9f-f88e-43a5-94c0-38ddbb1f6cd4"/>
    <ds:schemaRef ds:uri="http://purl.org/dc/elements/1.1/"/>
    <ds:schemaRef ds:uri="http://schemas.microsoft.com/sharepoint/v3/fields"/>
    <ds:schemaRef ds:uri="http://www.w3.org/XML/1998/namespace"/>
    <ds:schemaRef ds:uri="http://purl.org/dc/dcmitype/"/>
    <ds:schemaRef ds:uri="http://purl.org/dc/terms/"/>
    <ds:schemaRef ds:uri="http://schemas.openxmlformats.org/package/2006/metadata/core-properties"/>
    <ds:schemaRef ds:uri="9b9e153e-6401-409c-bd0a-41b5f8ab74e4"/>
    <ds:schemaRef ds:uri="2d9754bd-43a6-478d-bf04-b57147ddb280"/>
    <ds:schemaRef ds:uri="29b4bc27-838b-4f7d-8750-3b9c627f12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ECAR</vt:lpstr>
      <vt:lpstr>TBS</vt:lpstr>
      <vt:lpstr>Sync with Sparx</vt:lpstr>
      <vt:lpstr>EAObjectTypeIDs</vt:lpstr>
      <vt:lpstr>LL_EAObject_TypeIDs</vt:lpstr>
      <vt:lpstr>ECAR!LL_EAObject_TypeNames</vt:lpstr>
      <vt:lpstr>LL_EAObject_TypeNames</vt:lpstr>
      <vt:lpstr>LL_Element_Types</vt:lpstr>
      <vt:lpstr>LL_Status</vt:lpstr>
      <vt:lpstr>LL_Table_Field</vt:lpstr>
    </vt:vector>
  </TitlesOfParts>
  <Company>Environment Canada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EEM Data Dictionary - 10.0</dc:title>
  <dc:creator>Savage,Steve [Ontario]</dc:creator>
  <cp:lastModifiedBy>Kevin</cp:lastModifiedBy>
  <dcterms:created xsi:type="dcterms:W3CDTF">2015-08-06T17:56:08Z</dcterms:created>
  <dcterms:modified xsi:type="dcterms:W3CDTF">2016-12-19T19:41:26Z</dcterms:modified>
  <cp:contentStatus>Draft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0x010100E623EACA2C30D4408F7C942840CD01FD0008EB9B7C3278C94A8267B172B96CA149</vt:lpwstr>
  </property>
</Properties>
</file>